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lb" ContentType="model/gltf.binary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anie\Desktop\"/>
    </mc:Choice>
  </mc:AlternateContent>
  <xr:revisionPtr revIDLastSave="0" documentId="13_ncr:1_{7DF71BD8-C7F8-47DE-BC12-E01EB65B0CFD}" xr6:coauthVersionLast="47" xr6:coauthVersionMax="47" xr10:uidLastSave="{00000000-0000-0000-0000-000000000000}"/>
  <bookViews>
    <workbookView xWindow="-120" yWindow="-120" windowWidth="29040" windowHeight="15840" xr2:uid="{C2DFC615-6F95-4815-9D3F-52D9C72F71D3}"/>
  </bookViews>
  <sheets>
    <sheet name="MODELO PLANILHAS" sheetId="10" r:id="rId1"/>
    <sheet name="HOME" sheetId="7" r:id="rId2"/>
  </sheets>
  <definedNames>
    <definedName name="_xlnm._FilterDatabase" localSheetId="0" hidden="1">'MODELO PLANILHAS'!$A$2:$D$155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5" i="10" l="1" a="1"/>
  <c r="D155" i="10" s="1"/>
  <c r="D154" i="10" a="1"/>
  <c r="D154" i="10" s="1"/>
  <c r="D153" i="10" a="1"/>
  <c r="D153" i="10" s="1"/>
  <c r="D152" i="10" a="1"/>
  <c r="D152" i="10" s="1"/>
  <c r="D151" i="10" a="1"/>
  <c r="D151" i="10" s="1"/>
  <c r="D150" i="10" a="1"/>
  <c r="D150" i="10" s="1"/>
  <c r="D149" i="10" a="1"/>
  <c r="D149" i="10" s="1"/>
  <c r="D148" i="10" a="1"/>
  <c r="D148" i="10" s="1"/>
  <c r="D147" i="10" a="1"/>
  <c r="D147" i="10" s="1"/>
  <c r="D146" i="10" a="1"/>
  <c r="D146" i="10" s="1"/>
  <c r="D145" i="10" a="1"/>
  <c r="D145" i="10" s="1"/>
  <c r="D144" i="10" a="1"/>
  <c r="D144" i="10" s="1"/>
  <c r="D143" i="10" a="1"/>
  <c r="D143" i="10" s="1"/>
  <c r="D142" i="10" a="1"/>
  <c r="D142" i="10" s="1"/>
  <c r="D141" i="10" a="1"/>
  <c r="D141" i="10" s="1"/>
  <c r="D140" i="10" a="1"/>
  <c r="D140" i="10" s="1"/>
  <c r="D139" i="10" a="1"/>
  <c r="D139" i="10" s="1"/>
  <c r="D138" i="10" a="1"/>
  <c r="D138" i="10" s="1"/>
  <c r="D137" i="10" a="1"/>
  <c r="D137" i="10" s="1"/>
  <c r="D136" i="10" a="1"/>
  <c r="D136" i="10" s="1"/>
  <c r="D135" i="10" a="1"/>
  <c r="D135" i="10" s="1"/>
  <c r="D134" i="10" a="1"/>
  <c r="D134" i="10" s="1"/>
  <c r="D133" i="10" a="1"/>
  <c r="D133" i="10" s="1"/>
  <c r="D132" i="10" a="1"/>
  <c r="D132" i="10" s="1"/>
  <c r="D131" i="10" a="1"/>
  <c r="D131" i="10" s="1"/>
  <c r="D130" i="10" a="1"/>
  <c r="D130" i="10" s="1"/>
  <c r="D129" i="10" a="1"/>
  <c r="D129" i="10" s="1"/>
  <c r="D128" i="10" a="1"/>
  <c r="D128" i="10" s="1"/>
  <c r="D127" i="10" a="1"/>
  <c r="D127" i="10" s="1"/>
  <c r="D126" i="10" a="1"/>
  <c r="D126" i="10" s="1"/>
  <c r="D125" i="10" a="1"/>
  <c r="D125" i="10" s="1"/>
  <c r="D124" i="10" a="1"/>
  <c r="D124" i="10" s="1"/>
  <c r="D123" i="10" a="1"/>
  <c r="D123" i="10" s="1"/>
  <c r="D122" i="10" a="1"/>
  <c r="D122" i="10" s="1"/>
  <c r="D121" i="10" a="1"/>
  <c r="D121" i="10" s="1"/>
  <c r="D120" i="10" a="1"/>
  <c r="D120" i="10" s="1"/>
  <c r="D119" i="10" a="1"/>
  <c r="D119" i="10" s="1"/>
  <c r="D118" i="10" a="1"/>
  <c r="D118" i="10" s="1"/>
  <c r="D117" i="10" a="1"/>
  <c r="D117" i="10" s="1"/>
  <c r="D116" i="10" a="1"/>
  <c r="D116" i="10" s="1"/>
  <c r="D115" i="10" a="1"/>
  <c r="D115" i="10" s="1"/>
  <c r="D114" i="10" a="1"/>
  <c r="D114" i="10" s="1"/>
  <c r="D113" i="10" a="1"/>
  <c r="D113" i="10" s="1"/>
  <c r="D112" i="10" a="1"/>
  <c r="D112" i="10" s="1"/>
  <c r="D111" i="10" a="1"/>
  <c r="D111" i="10" s="1"/>
  <c r="D110" i="10" a="1"/>
  <c r="D110" i="10" s="1"/>
  <c r="D109" i="10" a="1"/>
  <c r="D109" i="10" s="1"/>
  <c r="D108" i="10" a="1"/>
  <c r="D108" i="10" s="1"/>
  <c r="D107" i="10" a="1"/>
  <c r="D107" i="10" s="1"/>
  <c r="D106" i="10" a="1"/>
  <c r="D106" i="10" s="1"/>
  <c r="D105" i="10" a="1"/>
  <c r="D105" i="10" s="1"/>
  <c r="D104" i="10" a="1"/>
  <c r="D104" i="10" s="1"/>
  <c r="D103" i="10" a="1"/>
  <c r="D103" i="10" s="1"/>
  <c r="D102" i="10" a="1"/>
  <c r="D102" i="10" s="1"/>
  <c r="D101" i="10" a="1"/>
  <c r="D101" i="10" s="1"/>
  <c r="D100" i="10" a="1"/>
  <c r="D100" i="10" s="1"/>
  <c r="D99" i="10" a="1"/>
  <c r="D99" i="10" s="1"/>
  <c r="D98" i="10" a="1"/>
  <c r="D98" i="10" s="1"/>
  <c r="D97" i="10" a="1"/>
  <c r="D97" i="10" s="1"/>
  <c r="D96" i="10" a="1"/>
  <c r="D96" i="10" s="1"/>
  <c r="D95" i="10" a="1"/>
  <c r="D95" i="10" s="1"/>
  <c r="D94" i="10" a="1"/>
  <c r="D94" i="10" s="1"/>
  <c r="D93" i="10" a="1"/>
  <c r="D93" i="10" s="1"/>
  <c r="D92" i="10" a="1"/>
  <c r="D92" i="10" s="1"/>
  <c r="D91" i="10" a="1"/>
  <c r="D91" i="10" s="1"/>
  <c r="D90" i="10" a="1"/>
  <c r="D90" i="10" s="1"/>
  <c r="D89" i="10" a="1"/>
  <c r="D89" i="10" s="1"/>
  <c r="D88" i="10" a="1"/>
  <c r="D88" i="10" s="1"/>
  <c r="D87" i="10" a="1"/>
  <c r="D87" i="10" s="1"/>
  <c r="D86" i="10" a="1"/>
  <c r="D86" i="10" s="1"/>
  <c r="D85" i="10" a="1"/>
  <c r="D85" i="10" s="1"/>
  <c r="D84" i="10" a="1"/>
  <c r="D84" i="10" s="1"/>
  <c r="D83" i="10" a="1"/>
  <c r="D83" i="10" s="1"/>
  <c r="D82" i="10" a="1"/>
  <c r="D82" i="10" s="1"/>
  <c r="D81" i="10" a="1"/>
  <c r="D81" i="10" s="1"/>
  <c r="D80" i="10" a="1"/>
  <c r="D80" i="10" s="1"/>
  <c r="D79" i="10" a="1"/>
  <c r="D79" i="10" s="1"/>
  <c r="D78" i="10" a="1"/>
  <c r="D78" i="10" s="1"/>
  <c r="D77" i="10" a="1"/>
  <c r="D77" i="10" s="1"/>
  <c r="D76" i="10" a="1"/>
  <c r="D76" i="10" s="1"/>
  <c r="D75" i="10" a="1"/>
  <c r="D75" i="10" s="1"/>
  <c r="D74" i="10" a="1"/>
  <c r="D74" i="10" s="1"/>
  <c r="D73" i="10" a="1"/>
  <c r="D73" i="10" s="1"/>
  <c r="D72" i="10" a="1"/>
  <c r="D72" i="10" s="1"/>
  <c r="D71" i="10" a="1"/>
  <c r="D71" i="10" s="1"/>
  <c r="D70" i="10" a="1"/>
  <c r="D70" i="10" s="1"/>
  <c r="D69" i="10" a="1"/>
  <c r="D69" i="10" s="1"/>
  <c r="D68" i="10" a="1"/>
  <c r="D68" i="10" s="1"/>
  <c r="D67" i="10" a="1"/>
  <c r="D67" i="10" s="1"/>
  <c r="D66" i="10" a="1"/>
  <c r="D66" i="10" s="1"/>
  <c r="D65" i="10" a="1"/>
  <c r="D65" i="10" s="1"/>
  <c r="D64" i="10" a="1"/>
  <c r="D64" i="10" s="1"/>
  <c r="D63" i="10" a="1"/>
  <c r="D63" i="10" s="1"/>
  <c r="D62" i="10" a="1"/>
  <c r="D62" i="10" s="1"/>
  <c r="D61" i="10" a="1"/>
  <c r="D61" i="10" s="1"/>
  <c r="D60" i="10" a="1"/>
  <c r="D60" i="10" s="1"/>
  <c r="D59" i="10" a="1"/>
  <c r="D59" i="10" s="1"/>
  <c r="D58" i="10" a="1"/>
  <c r="D58" i="10" s="1"/>
  <c r="D57" i="10" a="1"/>
  <c r="D57" i="10" s="1"/>
  <c r="D56" i="10" a="1"/>
  <c r="D56" i="10" s="1"/>
  <c r="D55" i="10" a="1"/>
  <c r="D55" i="10" s="1"/>
  <c r="D54" i="10" a="1"/>
  <c r="D54" i="10" s="1"/>
  <c r="D53" i="10" a="1"/>
  <c r="D53" i="10" s="1"/>
  <c r="D52" i="10" a="1"/>
  <c r="D52" i="10" s="1"/>
  <c r="D51" i="10" a="1"/>
  <c r="D51" i="10" s="1"/>
  <c r="D50" i="10" a="1"/>
  <c r="D50" i="10" s="1"/>
  <c r="D49" i="10" a="1"/>
  <c r="D49" i="10" s="1"/>
  <c r="D48" i="10" a="1"/>
  <c r="D48" i="10" s="1"/>
  <c r="D47" i="10" a="1"/>
  <c r="D47" i="10" s="1"/>
  <c r="D46" i="10" a="1"/>
  <c r="D46" i="10" s="1"/>
  <c r="D45" i="10" a="1"/>
  <c r="D45" i="10" s="1"/>
  <c r="D44" i="10" a="1"/>
  <c r="D44" i="10" s="1"/>
  <c r="D43" i="10" a="1"/>
  <c r="D43" i="10" s="1"/>
  <c r="D42" i="10" a="1"/>
  <c r="D42" i="10" s="1"/>
  <c r="D41" i="10" a="1"/>
  <c r="D41" i="10" s="1"/>
  <c r="D40" i="10" a="1"/>
  <c r="D40" i="10" s="1"/>
  <c r="D39" i="10" a="1"/>
  <c r="D39" i="10" s="1"/>
  <c r="D38" i="10" a="1"/>
  <c r="D38" i="10" s="1"/>
  <c r="D37" i="10" a="1"/>
  <c r="D37" i="10" s="1"/>
  <c r="D36" i="10" a="1"/>
  <c r="D36" i="10" s="1"/>
  <c r="D35" i="10" a="1"/>
  <c r="D35" i="10" s="1"/>
  <c r="D34" i="10" a="1"/>
  <c r="D34" i="10" s="1"/>
  <c r="D33" i="10" a="1"/>
  <c r="D33" i="10" s="1"/>
  <c r="D32" i="10" a="1"/>
  <c r="D32" i="10" s="1"/>
  <c r="D31" i="10" a="1"/>
  <c r="D31" i="10" s="1"/>
  <c r="D30" i="10" a="1"/>
  <c r="D30" i="10" s="1"/>
  <c r="D29" i="10" a="1"/>
  <c r="D29" i="10" s="1"/>
  <c r="D28" i="10" a="1"/>
  <c r="D28" i="10" s="1"/>
  <c r="D27" i="10" a="1"/>
  <c r="D27" i="10" s="1"/>
  <c r="D26" i="10" a="1"/>
  <c r="D26" i="10" s="1"/>
  <c r="D25" i="10" a="1"/>
  <c r="D25" i="10" s="1"/>
  <c r="D24" i="10" a="1"/>
  <c r="D24" i="10" s="1"/>
  <c r="D23" i="10" a="1"/>
  <c r="D23" i="10" s="1"/>
  <c r="I22" i="10"/>
  <c r="D22" i="10" a="1"/>
  <c r="D22" i="10" s="1"/>
  <c r="D21" i="10" a="1"/>
  <c r="D21" i="10" s="1"/>
  <c r="D20" i="10" a="1"/>
  <c r="D20" i="10" s="1"/>
  <c r="D19" i="10" a="1"/>
  <c r="D19" i="10" s="1"/>
  <c r="D18" i="10" a="1"/>
  <c r="D18" i="10" s="1"/>
  <c r="D17" i="10" a="1"/>
  <c r="D17" i="10" s="1"/>
  <c r="D16" i="10" a="1"/>
  <c r="D16" i="10" s="1"/>
  <c r="F3" i="10"/>
  <c r="C1" i="10"/>
  <c r="E5" i="10" l="1"/>
  <c r="E3" i="10" s="1"/>
  <c r="E8" i="10" s="1" a="1"/>
  <c r="E8" i="10" s="1"/>
  <c r="E1" i="10"/>
  <c r="D1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<sst xmlns="http://schemas.openxmlformats.org/spreadsheetml/2006/main" count="27" uniqueCount="25">
  <si>
    <t>VALOR</t>
  </si>
  <si>
    <t>VENCIMENTO</t>
  </si>
  <si>
    <t>NUBANK</t>
  </si>
  <si>
    <t>ORIGEM</t>
  </si>
  <si>
    <t>BANCO DO BRASIL - OUROCARD</t>
  </si>
  <si>
    <t>CREDZ</t>
  </si>
  <si>
    <t>ENTROU</t>
  </si>
  <si>
    <t>SOMA DAS DÍVIDAS</t>
  </si>
  <si>
    <t>STATUS</t>
  </si>
  <si>
    <t>PAGO</t>
  </si>
  <si>
    <t>A VENCER</t>
  </si>
  <si>
    <t>VENCIDO</t>
  </si>
  <si>
    <t>CONSIDERAÇÕES</t>
  </si>
  <si>
    <t>ENTRADA DE DINHEIRO</t>
  </si>
  <si>
    <t>DATA</t>
  </si>
  <si>
    <t>TOTAL</t>
  </si>
  <si>
    <t>SALDO MENSAL</t>
  </si>
  <si>
    <t>SANTANDER - WAY</t>
  </si>
  <si>
    <t>STATUS DISPONÍVEIS</t>
  </si>
  <si>
    <t>ORIGENS</t>
  </si>
  <si>
    <t>INTERNET - CLARO FIXO</t>
  </si>
  <si>
    <t>FESTCARD</t>
  </si>
  <si>
    <t>ACADEMIA</t>
  </si>
  <si>
    <t>COMPRAS AVULSAS</t>
  </si>
  <si>
    <t>EMPRÉSTIMO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</si>
</sst>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\ #,##0.00"/>
    <numFmt numFmtId="165" formatCode="dd/mm/yy;@"/>
    <numFmt numFmtId="166" formatCode="[$-F800]dddd\,\ mmmm\ dd\,\ yyyy"/>
    <numFmt numFmtId="167" formatCode="0#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Avenir Next LT Pro"/>
      <family val="2"/>
    </font>
    <font>
      <b/>
      <sz val="12"/>
      <color theme="0"/>
      <name val="Avenir Next LT Pro"/>
      <family val="2"/>
    </font>
    <font>
      <b/>
      <sz val="22"/>
      <color theme="0"/>
      <name val="Avenir Next LT Pro"/>
      <family val="2"/>
    </font>
    <font>
      <sz val="36"/>
      <color rgb="FFFFFF00"/>
      <name val="Avenir Next LT Pro"/>
      <family val="2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4.9989318521683403E-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2" tint="-0.249977111117893"/>
      </left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4" fontId="0" fillId="0" borderId="0" xfId="0" quotePrefix="1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 vertical="center"/>
    </xf>
    <xf numFmtId="16" fontId="1" fillId="2" borderId="0" xfId="0" applyNumberFormat="1" applyFont="1" applyFill="1" applyAlignment="1">
      <alignment horizontal="center" vertical="center"/>
    </xf>
    <xf numFmtId="16" fontId="1" fillId="3" borderId="0" xfId="0" applyNumberFormat="1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/>
    </xf>
    <xf numFmtId="164" fontId="5" fillId="4" borderId="3" xfId="0" applyNumberFormat="1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6" xfId="0" applyBorder="1" applyAlignment="1">
      <alignment horizontal="center" vertical="center"/>
    </xf>
    <xf numFmtId="49" fontId="2" fillId="5" borderId="5" xfId="0" applyNumberFormat="1" applyFont="1" applyFill="1" applyBorder="1" applyAlignment="1">
      <alignment horizontal="center" vertical="center"/>
    </xf>
    <xf numFmtId="164" fontId="2" fillId="5" borderId="5" xfId="0" applyNumberFormat="1" applyFont="1" applyFill="1" applyBorder="1" applyAlignment="1">
      <alignment horizontal="center" vertical="center"/>
    </xf>
    <xf numFmtId="166" fontId="2" fillId="5" borderId="5" xfId="0" applyNumberFormat="1" applyFont="1" applyFill="1" applyBorder="1" applyAlignment="1">
      <alignment horizontal="center" vertical="center"/>
    </xf>
    <xf numFmtId="49" fontId="2" fillId="5" borderId="5" xfId="0" applyNumberFormat="1" applyFont="1" applyFill="1" applyBorder="1" applyAlignment="1">
      <alignment horizontal="center"/>
    </xf>
    <xf numFmtId="164" fontId="2" fillId="5" borderId="5" xfId="0" applyNumberFormat="1" applyFont="1" applyFill="1" applyBorder="1" applyAlignment="1">
      <alignment horizontal="center"/>
    </xf>
    <xf numFmtId="166" fontId="2" fillId="5" borderId="5" xfId="0" applyNumberFormat="1" applyFont="1" applyFill="1" applyBorder="1" applyAlignment="1">
      <alignment horizontal="center"/>
    </xf>
    <xf numFmtId="0" fontId="0" fillId="5" borderId="0" xfId="0" applyFill="1"/>
    <xf numFmtId="0" fontId="2" fillId="5" borderId="0" xfId="0" applyFont="1" applyFill="1" applyAlignment="1">
      <alignment horizontal="right"/>
    </xf>
    <xf numFmtId="164" fontId="2" fillId="5" borderId="0" xfId="0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164" fontId="0" fillId="6" borderId="0" xfId="0" applyNumberFormat="1" applyFill="1" applyAlignment="1">
      <alignment horizontal="center"/>
    </xf>
    <xf numFmtId="0" fontId="0" fillId="6" borderId="0" xfId="0" applyFill="1"/>
    <xf numFmtId="167" fontId="6" fillId="6" borderId="0" xfId="0" applyNumberFormat="1" applyFont="1" applyFill="1" applyAlignment="1">
      <alignment horizontal="center" vertical="center"/>
    </xf>
    <xf numFmtId="167" fontId="6" fillId="6" borderId="0" xfId="0" applyNumberFormat="1" applyFont="1" applyFill="1" applyAlignment="1">
      <alignment horizontal="left" vertical="center"/>
    </xf>
    <xf numFmtId="166" fontId="2" fillId="5" borderId="7" xfId="0" applyNumberFormat="1" applyFont="1" applyFill="1" applyBorder="1" applyAlignment="1">
      <alignment horizontal="center" vertical="center"/>
    </xf>
    <xf numFmtId="166" fontId="2" fillId="5" borderId="7" xfId="0" applyNumberFormat="1" applyFont="1" applyFill="1" applyBorder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vertical="center"/>
    </xf>
    <xf numFmtId="0" fontId="0" fillId="4" borderId="0" xfId="0" applyFill="1"/>
    <xf numFmtId="0" fontId="0" fillId="7" borderId="0" xfId="0" applyFill="1"/>
    <xf numFmtId="164" fontId="0" fillId="7" borderId="0" xfId="0" applyNumberFormat="1" applyFill="1" applyAlignment="1">
      <alignment horizontal="center" vertical="center"/>
    </xf>
    <xf numFmtId="0" fontId="0" fillId="9" borderId="0" xfId="0" applyFill="1"/>
    <xf numFmtId="0" fontId="0" fillId="8" borderId="0" xfId="0" applyFill="1"/>
  </cellXfs>
  <cellStyles count="1">
    <cellStyle name="Normal" xfId="0" builtinId="0"/>
  </cellStyles>
  <dxfs count="17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theme="0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2060"/>
        </patternFill>
      </fill>
    </dxf>
    <dxf>
      <font>
        <color theme="2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VISÃO GERAL DOS GASTOS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845-4490-8B85-C11B80C7EC18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845-4490-8B85-C11B80C7EC18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845-4490-8B85-C11B80C7EC18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845-4490-8B85-C11B80C7EC18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2845-4490-8B85-C11B80C7EC18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2845-4490-8B85-C11B80C7EC18}"/>
              </c:ext>
            </c:extLst>
          </c:dPt>
          <c:dPt>
            <c:idx val="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2845-4490-8B85-C11B80C7EC18}"/>
              </c:ext>
            </c:extLst>
          </c:dPt>
          <c:dPt>
            <c:idx val="7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2845-4490-8B85-C11B80C7EC18}"/>
              </c:ext>
            </c:extLst>
          </c:dPt>
          <c:dPt>
            <c:idx val="8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2845-4490-8B85-C11B80C7EC18}"/>
              </c:ext>
            </c:extLst>
          </c:dPt>
          <c:dPt>
            <c:idx val="9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2845-4490-8B85-C11B80C7EC18}"/>
              </c:ext>
            </c:extLst>
          </c:dPt>
          <c:dPt>
            <c:idx val="1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2845-4490-8B85-C11B80C7EC18}"/>
              </c:ext>
            </c:extLst>
          </c:dPt>
          <c:dPt>
            <c:idx val="11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2845-4490-8B85-C11B80C7EC18}"/>
              </c:ext>
            </c:extLst>
          </c:dPt>
          <c:dPt>
            <c:idx val="12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2845-4490-8B85-C11B80C7EC18}"/>
              </c:ext>
            </c:extLst>
          </c:dPt>
          <c:dPt>
            <c:idx val="1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2845-4490-8B85-C11B80C7EC18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2845-4490-8B85-C11B80C7EC18}"/>
              </c:ext>
            </c:extLst>
          </c:dPt>
          <c:dPt>
            <c:idx val="15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2845-4490-8B85-C11B80C7EC18}"/>
              </c:ext>
            </c:extLst>
          </c:dPt>
          <c:dPt>
            <c:idx val="16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1-2845-4490-8B85-C11B80C7EC18}"/>
              </c:ext>
            </c:extLst>
          </c:dPt>
          <c:dPt>
            <c:idx val="17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3-2845-4490-8B85-C11B80C7EC18}"/>
              </c:ext>
            </c:extLst>
          </c:dPt>
          <c:dPt>
            <c:idx val="18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2845-4490-8B85-C11B80C7EC18}"/>
              </c:ext>
            </c:extLst>
          </c:dPt>
          <c:dPt>
            <c:idx val="19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2845-4490-8B85-C11B80C7EC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'MODELO PLANILHAS'!$A$3:$A$22</c:f>
              <c:numCache>
                <c:formatCode>General</c:formatCode>
                <c:ptCount val="20"/>
              </c:numCache>
            </c:numRef>
          </c:cat>
          <c:val>
            <c:numRef>
              <c:f>'MODELO PLANILHAS'!$B$3:$B$22</c:f>
              <c:numCache>
                <c:formatCode>"R$"\ #,##0.00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28-2845-4490-8B85-C11B80C7EC1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30"/>
        <c:holeSize val="50"/>
      </c:doughnutChart>
      <c:spPr>
        <a:noFill/>
        <a:ln>
          <a:noFill/>
        </a:ln>
        <a:effectLst/>
      </c:spPr>
    </c:plotArea>
    <c:legend>
      <c:legendPos val="t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image" Target="../media/image11.svg"/><Relationship Id="rId3" Type="http://schemas.openxmlformats.org/officeDocument/2006/relationships/image" Target="../media/image1.png"/><Relationship Id="rId7" Type="http://schemas.openxmlformats.org/officeDocument/2006/relationships/image" Target="../media/image5.svg"/><Relationship Id="rId12" Type="http://schemas.openxmlformats.org/officeDocument/2006/relationships/image" Target="../media/image10.png"/><Relationship Id="rId2" Type="http://schemas.microsoft.com/office/2017/06/relationships/model3d" Target="../media/model3d1.glb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11" Type="http://schemas.openxmlformats.org/officeDocument/2006/relationships/image" Target="../media/image9.svg"/><Relationship Id="rId5" Type="http://schemas.openxmlformats.org/officeDocument/2006/relationships/image" Target="../media/image3.svg"/><Relationship Id="rId10" Type="http://schemas.openxmlformats.org/officeDocument/2006/relationships/image" Target="../media/image8.png"/><Relationship Id="rId4" Type="http://schemas.openxmlformats.org/officeDocument/2006/relationships/image" Target="../media/image2.png"/><Relationship Id="rId9" Type="http://schemas.openxmlformats.org/officeDocument/2006/relationships/image" Target="../media/image7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7326</xdr:colOff>
      <xdr:row>7</xdr:row>
      <xdr:rowOff>190499</xdr:rowOff>
    </xdr:from>
    <xdr:to>
      <xdr:col>4</xdr:col>
      <xdr:colOff>3047999</xdr:colOff>
      <xdr:row>46</xdr:row>
      <xdr:rowOff>146538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E1F0B6B-CD3E-4B46-B194-F94F183F1A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241232</xdr:colOff>
      <xdr:row>0</xdr:row>
      <xdr:rowOff>69123</xdr:rowOff>
    </xdr:from>
    <xdr:to>
      <xdr:col>0</xdr:col>
      <xdr:colOff>635190</xdr:colOff>
      <xdr:row>0</xdr:row>
      <xdr:rowOff>695333</xdr:rowOff>
    </xdr:to>
    <mc:AlternateContent xmlns:mc="http://schemas.openxmlformats.org/markup-compatibility/2006">
      <mc:Choice xmlns:am3d="http://schemas.microsoft.com/office/drawing/2017/model3d" Requires="am3d">
        <xdr:graphicFrame macro="">
          <xdr:nvGraphicFramePr>
            <xdr:cNvPr id="3" name="Modelo 3D 2" descr="Documento impresso">
              <a:extLst>
                <a:ext uri="{FF2B5EF4-FFF2-40B4-BE49-F238E27FC236}">
                  <a16:creationId xmlns:a16="http://schemas.microsoft.com/office/drawing/2014/main" id="{2785EABD-67B1-4863-BD1D-32E37886F08B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7/model3d">
              <am3d:model3d xmlns:r="http://schemas.openxmlformats.org/officeDocument/2006/relationships" r:embed="rId2">
                <am3d:spPr>
                  <a:xfrm>
                    <a:off x="0" y="0"/>
                    <a:ext cx="393958" cy="626210"/>
                  </a:xfrm>
                  <a:prstGeom prst="rect">
                    <a:avLst/>
                  </a:prstGeom>
                </am3d:spPr>
                <am3d:camera>
                  <am3d:pos x="0" y="0" z="56475043"/>
                  <am3d:up dx="0" dy="36000000" dz="0"/>
                  <am3d:lookAt x="0" y="0" z="0"/>
                  <am3d:perspective fov="2700000"/>
                </am3d:camera>
                <am3d:trans>
                  <am3d:meterPerModelUnit n="9805309" d="1000000"/>
                  <am3d:preTrans dx="-1048" dy="-18000000" dz="0"/>
                  <am3d:scale>
                    <am3d:sx n="1000000" d="1000000"/>
                    <am3d:sy n="1000000" d="1000000"/>
                    <am3d:sz n="1000000" d="1000000"/>
                  </am3d:scale>
                  <am3d:rot ax="351373" ay="1392466" az="138874"/>
                  <am3d:postTrans dx="0" dy="0" dz="0"/>
                </am3d:trans>
                <am3d:raster rName="Office3DRenderer" rVer="16.0.8326">
                  <am3d:blip r:embed="rId3"/>
                </am3d:raster>
                <am3d:objViewport viewportSz="735313"/>
                <am3d:ambientLight>
                  <am3d:clr>
                    <a:scrgbClr r="50000" g="50000" b="50000"/>
                  </am3d:clr>
                  <am3d:illuminance n="500000" d="1000000"/>
                </am3d:ambientLight>
                <am3d:ptLight rad="0">
                  <am3d:clr>
                    <a:scrgbClr r="100000" g="75000" b="50000"/>
                  </am3d:clr>
                  <am3d:intensity n="9765625" d="1000000"/>
                  <am3d:pos x="21959998" y="70920001" z="16344003"/>
                </am3d:ptLight>
                <am3d:ptLight rad="0">
                  <am3d:clr>
                    <a:scrgbClr r="40000" g="60000" b="95000"/>
                  </am3d:clr>
                  <am3d:intensity n="12250000" d="1000000"/>
                  <am3d:pos x="-37964106" y="51130435" z="57631972"/>
                </am3d:ptLight>
                <am3d:ptLight rad="0">
                  <am3d:clr>
                    <a:scrgbClr r="86837" g="72700" b="100000"/>
                  </am3d:clr>
                  <am3d:intensity n="3125000" d="1000000"/>
                  <am3d:pos x="-37739122" y="58056624" z="-34769649"/>
                </am3d:ptLight>
              </am3d:model3d>
            </a:graphicData>
          </a:graphic>
        </xdr:graphicFrame>
      </mc:Choice>
      <mc:Fallback>
        <xdr:pic>
          <xdr:nvPicPr>
            <xdr:cNvPr id="3" name="Modelo 3D 2" descr="Documento impresso">
              <a:extLst>
                <a:ext uri="{FF2B5EF4-FFF2-40B4-BE49-F238E27FC236}">
                  <a16:creationId xmlns:a16="http://schemas.microsoft.com/office/drawing/2014/main" id="{2785EABD-67B1-4863-BD1D-32E37886F08B}"/>
                </a:ext>
              </a:extLst>
            </xdr:cNvPr>
            <xdr:cNvPicPr>
              <a:picLocks noGrp="1" noRot="1" noChangeAspect="1" noMove="1" noResize="1" noEditPoints="1" noAdjustHandles="1" noChangeArrowheads="1" noChangeShapeType="1" noCrop="1"/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241232" y="69123"/>
              <a:ext cx="393958" cy="62621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0</xdr:col>
      <xdr:colOff>644770</xdr:colOff>
      <xdr:row>0</xdr:row>
      <xdr:rowOff>117231</xdr:rowOff>
    </xdr:from>
    <xdr:to>
      <xdr:col>2</xdr:col>
      <xdr:colOff>871905</xdr:colOff>
      <xdr:row>0</xdr:row>
      <xdr:rowOff>424962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E21BEF09-7E50-49A5-8697-7CF72A983A8C}"/>
            </a:ext>
          </a:extLst>
        </xdr:cNvPr>
        <xdr:cNvSpPr txBox="1"/>
      </xdr:nvSpPr>
      <xdr:spPr>
        <a:xfrm>
          <a:off x="644770" y="117231"/>
          <a:ext cx="4389560" cy="3077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800" b="1">
              <a:solidFill>
                <a:schemeClr val="bg1"/>
              </a:solidFill>
              <a:latin typeface="Avenir Next LT Pro" panose="020B0504020202020204" pitchFamily="34" charset="0"/>
            </a:rPr>
            <a:t>CONTROLE MENSAL DE GASTOS</a:t>
          </a:r>
        </a:p>
      </xdr:txBody>
    </xdr:sp>
    <xdr:clientData/>
  </xdr:twoCellAnchor>
  <xdr:twoCellAnchor>
    <xdr:from>
      <xdr:col>0</xdr:col>
      <xdr:colOff>657959</xdr:colOff>
      <xdr:row>0</xdr:row>
      <xdr:rowOff>357554</xdr:rowOff>
    </xdr:from>
    <xdr:to>
      <xdr:col>2</xdr:col>
      <xdr:colOff>1179635</xdr:colOff>
      <xdr:row>0</xdr:row>
      <xdr:rowOff>665285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3AD24D36-7A0A-4705-9370-00451694BFA8}"/>
            </a:ext>
          </a:extLst>
        </xdr:cNvPr>
        <xdr:cNvSpPr txBox="1"/>
      </xdr:nvSpPr>
      <xdr:spPr>
        <a:xfrm>
          <a:off x="657959" y="357554"/>
          <a:ext cx="4684101" cy="3077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000" b="1">
              <a:solidFill>
                <a:schemeClr val="bg1">
                  <a:lumMod val="85000"/>
                </a:schemeClr>
              </a:solidFill>
              <a:latin typeface="Avenir Next LT Pro" panose="020B0504020202020204" pitchFamily="34" charset="0"/>
            </a:rPr>
            <a:t>CONTROLE</a:t>
          </a:r>
          <a:r>
            <a:rPr lang="pt-BR" sz="1000" b="1" baseline="0">
              <a:solidFill>
                <a:schemeClr val="bg1">
                  <a:lumMod val="85000"/>
                </a:schemeClr>
              </a:solidFill>
              <a:latin typeface="Avenir Next LT Pro" panose="020B0504020202020204" pitchFamily="34" charset="0"/>
            </a:rPr>
            <a:t> SOBRE SUAS DÍVIDAS E SOBRE A ENTRADA DE DINHEIRO.</a:t>
          </a:r>
          <a:endParaRPr lang="pt-BR" sz="1000" b="1">
            <a:solidFill>
              <a:schemeClr val="bg1">
                <a:lumMod val="85000"/>
              </a:schemeClr>
            </a:solidFill>
            <a:latin typeface="Avenir Next LT Pro" panose="020B0504020202020204" pitchFamily="34" charset="0"/>
          </a:endParaRPr>
        </a:p>
      </xdr:txBody>
    </xdr:sp>
    <xdr:clientData/>
  </xdr:twoCellAnchor>
  <xdr:twoCellAnchor editAs="oneCell">
    <xdr:from>
      <xdr:col>7</xdr:col>
      <xdr:colOff>1465384</xdr:colOff>
      <xdr:row>1</xdr:row>
      <xdr:rowOff>73270</xdr:rowOff>
    </xdr:from>
    <xdr:to>
      <xdr:col>8</xdr:col>
      <xdr:colOff>152399</xdr:colOff>
      <xdr:row>1</xdr:row>
      <xdr:rowOff>482112</xdr:rowOff>
    </xdr:to>
    <xdr:pic>
      <xdr:nvPicPr>
        <xdr:cNvPr id="6" name="Gráfico 5" descr="Registrar com preenchimento sólido">
          <a:extLst>
            <a:ext uri="{FF2B5EF4-FFF2-40B4-BE49-F238E27FC236}">
              <a16:creationId xmlns:a16="http://schemas.microsoft.com/office/drawing/2014/main" id="{4DD6AB17-F11E-42AB-9F45-92EEC51EA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5467134" y="806695"/>
          <a:ext cx="411040" cy="408842"/>
        </a:xfrm>
        <a:prstGeom prst="rect">
          <a:avLst/>
        </a:prstGeom>
      </xdr:spPr>
    </xdr:pic>
    <xdr:clientData/>
  </xdr:twoCellAnchor>
  <xdr:twoCellAnchor editAs="oneCell">
    <xdr:from>
      <xdr:col>6</xdr:col>
      <xdr:colOff>2013437</xdr:colOff>
      <xdr:row>1</xdr:row>
      <xdr:rowOff>71804</xdr:rowOff>
    </xdr:from>
    <xdr:to>
      <xdr:col>7</xdr:col>
      <xdr:colOff>260837</xdr:colOff>
      <xdr:row>1</xdr:row>
      <xdr:rowOff>480646</xdr:rowOff>
    </xdr:to>
    <xdr:pic>
      <xdr:nvPicPr>
        <xdr:cNvPr id="7" name="Gráfico 6" descr="Registrar com preenchimento sólido">
          <a:extLst>
            <a:ext uri="{FF2B5EF4-FFF2-40B4-BE49-F238E27FC236}">
              <a16:creationId xmlns:a16="http://schemas.microsoft.com/office/drawing/2014/main" id="{700F4DCD-156D-4E75-B2FF-469F54E04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3853012" y="805229"/>
          <a:ext cx="409575" cy="408842"/>
        </a:xfrm>
        <a:prstGeom prst="rect">
          <a:avLst/>
        </a:prstGeom>
      </xdr:spPr>
    </xdr:pic>
    <xdr:clientData/>
  </xdr:twoCellAnchor>
  <xdr:twoCellAnchor>
    <xdr:from>
      <xdr:col>2</xdr:col>
      <xdr:colOff>1762860</xdr:colOff>
      <xdr:row>0</xdr:row>
      <xdr:rowOff>124559</xdr:rowOff>
    </xdr:from>
    <xdr:to>
      <xdr:col>3</xdr:col>
      <xdr:colOff>21981</xdr:colOff>
      <xdr:row>0</xdr:row>
      <xdr:rowOff>644771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7E47F6DE-665D-4A12-89BA-6A54F7ED8E0C}"/>
            </a:ext>
          </a:extLst>
        </xdr:cNvPr>
        <xdr:cNvSpPr txBox="1"/>
      </xdr:nvSpPr>
      <xdr:spPr>
        <a:xfrm>
          <a:off x="5925285" y="124559"/>
          <a:ext cx="1345221" cy="520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venir Next LT Pro" panose="020B0504020202020204" pitchFamily="34" charset="0"/>
            </a:rPr>
            <a:t>DÍVIDAS REGISTRADAS</a:t>
          </a:r>
        </a:p>
      </xdr:txBody>
    </xdr:sp>
    <xdr:clientData/>
  </xdr:twoCellAnchor>
  <xdr:twoCellAnchor>
    <xdr:from>
      <xdr:col>3</xdr:col>
      <xdr:colOff>581759</xdr:colOff>
      <xdr:row>0</xdr:row>
      <xdr:rowOff>130420</xdr:rowOff>
    </xdr:from>
    <xdr:to>
      <xdr:col>4</xdr:col>
      <xdr:colOff>379534</xdr:colOff>
      <xdr:row>0</xdr:row>
      <xdr:rowOff>650632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FA780110-65DB-48BF-96F8-65848C69BA02}"/>
            </a:ext>
          </a:extLst>
        </xdr:cNvPr>
        <xdr:cNvSpPr txBox="1"/>
      </xdr:nvSpPr>
      <xdr:spPr>
        <a:xfrm>
          <a:off x="7830284" y="130420"/>
          <a:ext cx="1340825" cy="520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venir Next LT Pro" panose="020B0504020202020204" pitchFamily="34" charset="0"/>
            </a:rPr>
            <a:t>DÍVIDAS VENCIDAS</a:t>
          </a:r>
        </a:p>
      </xdr:txBody>
    </xdr:sp>
    <xdr:clientData/>
  </xdr:twoCellAnchor>
  <xdr:twoCellAnchor>
    <xdr:from>
      <xdr:col>4</xdr:col>
      <xdr:colOff>589086</xdr:colOff>
      <xdr:row>0</xdr:row>
      <xdr:rowOff>115767</xdr:rowOff>
    </xdr:from>
    <xdr:to>
      <xdr:col>4</xdr:col>
      <xdr:colOff>2007577</xdr:colOff>
      <xdr:row>0</xdr:row>
      <xdr:rowOff>635979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FF7B6947-0223-4193-868D-D618D6119ACA}"/>
            </a:ext>
          </a:extLst>
        </xdr:cNvPr>
        <xdr:cNvSpPr txBox="1"/>
      </xdr:nvSpPr>
      <xdr:spPr>
        <a:xfrm>
          <a:off x="9380661" y="115767"/>
          <a:ext cx="1418491" cy="520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venir Next LT Pro" panose="020B0504020202020204" pitchFamily="34" charset="0"/>
            </a:rPr>
            <a:t>DÍVIDAS AINDA</a:t>
          </a:r>
          <a:r>
            <a:rPr lang="pt-BR" sz="1200" b="1" baseline="0">
              <a:solidFill>
                <a:schemeClr val="bg1">
                  <a:lumMod val="85000"/>
                </a:schemeClr>
              </a:solidFill>
              <a:latin typeface="Avenir Next LT Pro" panose="020B0504020202020204" pitchFamily="34" charset="0"/>
            </a:rPr>
            <a:t> </a:t>
          </a:r>
        </a:p>
        <a:p>
          <a:r>
            <a:rPr lang="pt-BR" sz="1200" b="1" baseline="0">
              <a:solidFill>
                <a:schemeClr val="bg1">
                  <a:lumMod val="85000"/>
                </a:schemeClr>
              </a:solidFill>
              <a:latin typeface="Avenir Next LT Pro" panose="020B0504020202020204" pitchFamily="34" charset="0"/>
            </a:rPr>
            <a:t>NÃO VENCIDAS</a:t>
          </a:r>
          <a:endParaRPr lang="pt-BR" sz="1200" b="1">
            <a:solidFill>
              <a:schemeClr val="bg1">
                <a:lumMod val="85000"/>
              </a:schemeClr>
            </a:solidFill>
            <a:latin typeface="Avenir Next LT Pro" panose="020B0504020202020204" pitchFamily="34" charset="0"/>
          </a:endParaRPr>
        </a:p>
      </xdr:txBody>
    </xdr:sp>
    <xdr:clientData/>
  </xdr:twoCellAnchor>
  <xdr:twoCellAnchor>
    <xdr:from>
      <xdr:col>10</xdr:col>
      <xdr:colOff>1737950</xdr:colOff>
      <xdr:row>0</xdr:row>
      <xdr:rowOff>290148</xdr:rowOff>
    </xdr:from>
    <xdr:to>
      <xdr:col>12</xdr:col>
      <xdr:colOff>637443</xdr:colOff>
      <xdr:row>1</xdr:row>
      <xdr:rowOff>77668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2EE725DB-1D8D-420C-879B-5BEBC722C77E}"/>
            </a:ext>
          </a:extLst>
        </xdr:cNvPr>
        <xdr:cNvSpPr txBox="1"/>
      </xdr:nvSpPr>
      <xdr:spPr>
        <a:xfrm>
          <a:off x="20362988" y="290148"/>
          <a:ext cx="3083167" cy="520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venir Next LT Pro" panose="020B0504020202020204" pitchFamily="34" charset="0"/>
            </a:rPr>
            <a:t>FEITO POR</a:t>
          </a:r>
          <a:r>
            <a:rPr lang="pt-BR" sz="1200" b="1" baseline="0">
              <a:solidFill>
                <a:schemeClr val="bg1">
                  <a:lumMod val="85000"/>
                </a:schemeClr>
              </a:solidFill>
              <a:latin typeface="Avenir Next LT Pro" panose="020B0504020202020204" pitchFamily="34" charset="0"/>
            </a:rPr>
            <a:t> LIEWS SOFTWARES</a:t>
          </a:r>
          <a:endParaRPr lang="pt-BR" sz="1200" b="1">
            <a:solidFill>
              <a:schemeClr val="bg1">
                <a:lumMod val="85000"/>
              </a:schemeClr>
            </a:solidFill>
            <a:latin typeface="Avenir Next LT Pro" panose="020B0504020202020204" pitchFamily="34" charset="0"/>
          </a:endParaRPr>
        </a:p>
      </xdr:txBody>
    </xdr:sp>
    <xdr:clientData/>
  </xdr:twoCellAnchor>
  <xdr:twoCellAnchor editAs="oneCell">
    <xdr:from>
      <xdr:col>4</xdr:col>
      <xdr:colOff>2058864</xdr:colOff>
      <xdr:row>0</xdr:row>
      <xdr:rowOff>205154</xdr:rowOff>
    </xdr:from>
    <xdr:to>
      <xdr:col>4</xdr:col>
      <xdr:colOff>2395902</xdr:colOff>
      <xdr:row>0</xdr:row>
      <xdr:rowOff>542192</xdr:rowOff>
    </xdr:to>
    <xdr:pic>
      <xdr:nvPicPr>
        <xdr:cNvPr id="12" name="Gráfico 11" descr="Registrar com preenchimento sólido">
          <a:extLst>
            <a:ext uri="{FF2B5EF4-FFF2-40B4-BE49-F238E27FC236}">
              <a16:creationId xmlns:a16="http://schemas.microsoft.com/office/drawing/2014/main" id="{AB83510C-CE57-4244-A053-704A904C6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0850439" y="205154"/>
          <a:ext cx="337038" cy="337038"/>
        </a:xfrm>
        <a:prstGeom prst="rect">
          <a:avLst/>
        </a:prstGeom>
      </xdr:spPr>
    </xdr:pic>
    <xdr:clientData/>
  </xdr:twoCellAnchor>
  <xdr:twoCellAnchor>
    <xdr:from>
      <xdr:col>4</xdr:col>
      <xdr:colOff>2346083</xdr:colOff>
      <xdr:row>0</xdr:row>
      <xdr:rowOff>136282</xdr:rowOff>
    </xdr:from>
    <xdr:to>
      <xdr:col>6</xdr:col>
      <xdr:colOff>864577</xdr:colOff>
      <xdr:row>0</xdr:row>
      <xdr:rowOff>656494</xdr:rowOff>
    </xdr:to>
    <xdr:sp macro="" textlink="E3">
      <xdr:nvSpPr>
        <xdr:cNvPr id="13" name="CaixaDeTexto 12">
          <a:extLst>
            <a:ext uri="{FF2B5EF4-FFF2-40B4-BE49-F238E27FC236}">
              <a16:creationId xmlns:a16="http://schemas.microsoft.com/office/drawing/2014/main" id="{B6B9F2B7-73E0-4837-B6A2-40FE45298CC9}"/>
            </a:ext>
          </a:extLst>
        </xdr:cNvPr>
        <xdr:cNvSpPr txBox="1"/>
      </xdr:nvSpPr>
      <xdr:spPr>
        <a:xfrm>
          <a:off x="11137658" y="136282"/>
          <a:ext cx="1566494" cy="520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0E46F50-779A-441E-94C1-1BEFC2D880BA}" type="TxLink">
            <a:rPr lang="en-US" sz="1600" b="0" i="0" u="none" strike="noStrike">
              <a:solidFill>
                <a:srgbClr val="FFFF00"/>
              </a:solidFill>
              <a:latin typeface="Avenir Next LT Pro" panose="020B0804020202020204" pitchFamily="34" charset="0"/>
              <a:cs typeface="Calibri"/>
            </a:rPr>
            <a:pPr/>
            <a:t>R$ 0,00</a:t>
          </a:fld>
          <a:endParaRPr lang="pt-BR" sz="1600" b="1">
            <a:solidFill>
              <a:srgbClr val="FFFF00"/>
            </a:solidFill>
            <a:latin typeface="Avenir Next LT Pro" panose="020B0804020202020204" pitchFamily="34" charset="0"/>
          </a:endParaRPr>
        </a:p>
      </xdr:txBody>
    </xdr:sp>
    <xdr:clientData/>
  </xdr:twoCellAnchor>
  <xdr:twoCellAnchor editAs="oneCell">
    <xdr:from>
      <xdr:col>6</xdr:col>
      <xdr:colOff>849922</xdr:colOff>
      <xdr:row>0</xdr:row>
      <xdr:rowOff>167054</xdr:rowOff>
    </xdr:from>
    <xdr:to>
      <xdr:col>6</xdr:col>
      <xdr:colOff>1230922</xdr:colOff>
      <xdr:row>0</xdr:row>
      <xdr:rowOff>548054</xdr:rowOff>
    </xdr:to>
    <xdr:pic>
      <xdr:nvPicPr>
        <xdr:cNvPr id="14" name="Gráfico 13" descr="Caixa de entrada com preenchimento sólido">
          <a:extLst>
            <a:ext uri="{FF2B5EF4-FFF2-40B4-BE49-F238E27FC236}">
              <a16:creationId xmlns:a16="http://schemas.microsoft.com/office/drawing/2014/main" id="{D05E6173-86DC-4BCF-B961-E54C766586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2689497" y="167054"/>
          <a:ext cx="381000" cy="381000"/>
        </a:xfrm>
        <a:prstGeom prst="rect">
          <a:avLst/>
        </a:prstGeom>
      </xdr:spPr>
    </xdr:pic>
    <xdr:clientData/>
  </xdr:twoCellAnchor>
  <xdr:twoCellAnchor>
    <xdr:from>
      <xdr:col>6</xdr:col>
      <xdr:colOff>1157656</xdr:colOff>
      <xdr:row>0</xdr:row>
      <xdr:rowOff>156797</xdr:rowOff>
    </xdr:from>
    <xdr:to>
      <xdr:col>7</xdr:col>
      <xdr:colOff>1192823</xdr:colOff>
      <xdr:row>0</xdr:row>
      <xdr:rowOff>677009</xdr:rowOff>
    </xdr:to>
    <xdr:sp macro="" textlink="I22">
      <xdr:nvSpPr>
        <xdr:cNvPr id="15" name="CaixaDeTexto 14">
          <a:extLst>
            <a:ext uri="{FF2B5EF4-FFF2-40B4-BE49-F238E27FC236}">
              <a16:creationId xmlns:a16="http://schemas.microsoft.com/office/drawing/2014/main" id="{03F928D6-31E8-444A-A8F5-359E74788DE9}"/>
            </a:ext>
          </a:extLst>
        </xdr:cNvPr>
        <xdr:cNvSpPr txBox="1"/>
      </xdr:nvSpPr>
      <xdr:spPr>
        <a:xfrm>
          <a:off x="12997231" y="156797"/>
          <a:ext cx="2197342" cy="520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050E06BC-12E1-4983-9A36-9739B9CAD6FB}" type="TxLink">
            <a:rPr lang="en-US" sz="1800" b="0" i="0" u="none" strike="noStrike">
              <a:solidFill>
                <a:srgbClr val="FFFF00"/>
              </a:solidFill>
              <a:latin typeface="Avenir Next LT Pro" panose="020B0804020202020204" pitchFamily="34" charset="0"/>
              <a:cs typeface="Calibri"/>
            </a:rPr>
            <a:pPr/>
            <a:t>R$ 0,00</a:t>
          </a:fld>
          <a:endParaRPr lang="pt-BR" sz="1800" b="1">
            <a:solidFill>
              <a:srgbClr val="FFFF00"/>
            </a:solidFill>
            <a:latin typeface="Avenir Next LT Pro" panose="020B0804020202020204" pitchFamily="34" charset="0"/>
          </a:endParaRPr>
        </a:p>
      </xdr:txBody>
    </xdr:sp>
    <xdr:clientData/>
  </xdr:twoCellAnchor>
  <xdr:twoCellAnchor>
    <xdr:from>
      <xdr:col>10</xdr:col>
      <xdr:colOff>952500</xdr:colOff>
      <xdr:row>0</xdr:row>
      <xdr:rowOff>36634</xdr:rowOff>
    </xdr:from>
    <xdr:to>
      <xdr:col>12</xdr:col>
      <xdr:colOff>33702</xdr:colOff>
      <xdr:row>0</xdr:row>
      <xdr:rowOff>556846</xdr:rowOff>
    </xdr:to>
    <xdr:sp macro="" textlink="E8">
      <xdr:nvSpPr>
        <xdr:cNvPr id="16" name="CaixaDeTexto 15">
          <a:extLst>
            <a:ext uri="{FF2B5EF4-FFF2-40B4-BE49-F238E27FC236}">
              <a16:creationId xmlns:a16="http://schemas.microsoft.com/office/drawing/2014/main" id="{01A19AAC-DB12-46A7-8DEF-4DEC7D3F203A}"/>
            </a:ext>
          </a:extLst>
        </xdr:cNvPr>
        <xdr:cNvSpPr txBox="1"/>
      </xdr:nvSpPr>
      <xdr:spPr>
        <a:xfrm>
          <a:off x="19583400" y="36634"/>
          <a:ext cx="3262677" cy="5202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BCE567-5A5B-4BD5-991E-8979927B40EB}" type="TxLink">
            <a:rPr lang="en-US" sz="1300" b="0" i="0" u="none" strike="noStrike">
              <a:solidFill>
                <a:srgbClr val="FFFF00"/>
              </a:solidFill>
              <a:latin typeface="Avenir Next LT Pro" panose="020B0804020202020204" pitchFamily="34" charset="0"/>
              <a:cs typeface="Calibri"/>
            </a:rPr>
            <a:pPr algn="r"/>
            <a:t>FINANCEIRAMENTE FÁLIDO</a:t>
          </a:fld>
          <a:endParaRPr lang="pt-BR" sz="1300" b="1">
            <a:solidFill>
              <a:srgbClr val="FFFF00"/>
            </a:solidFill>
            <a:latin typeface="Avenir Next LT Pro" panose="020B0804020202020204" pitchFamily="34" charset="0"/>
          </a:endParaRPr>
        </a:p>
      </xdr:txBody>
    </xdr:sp>
    <xdr:clientData/>
  </xdr:twoCellAnchor>
  <xdr:twoCellAnchor editAs="oneCell">
    <xdr:from>
      <xdr:col>8</xdr:col>
      <xdr:colOff>945168</xdr:colOff>
      <xdr:row>2</xdr:row>
      <xdr:rowOff>21981</xdr:rowOff>
    </xdr:from>
    <xdr:to>
      <xdr:col>8</xdr:col>
      <xdr:colOff>1106360</xdr:colOff>
      <xdr:row>2</xdr:row>
      <xdr:rowOff>183173</xdr:rowOff>
    </xdr:to>
    <xdr:pic>
      <xdr:nvPicPr>
        <xdr:cNvPr id="17" name="Gráfico 16" descr="Folhinha com preenchimento sólido">
          <a:extLst>
            <a:ext uri="{FF2B5EF4-FFF2-40B4-BE49-F238E27FC236}">
              <a16:creationId xmlns:a16="http://schemas.microsoft.com/office/drawing/2014/main" id="{CAC744CC-86F6-4B79-A559-EC61490ABF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6670943" y="1298331"/>
          <a:ext cx="161192" cy="161192"/>
        </a:xfrm>
        <a:prstGeom prst="rect">
          <a:avLst/>
        </a:prstGeom>
      </xdr:spPr>
    </xdr:pic>
    <xdr:clientData/>
  </xdr:twoCellAnchor>
  <xdr:twoCellAnchor editAs="oneCell">
    <xdr:from>
      <xdr:col>7</xdr:col>
      <xdr:colOff>498231</xdr:colOff>
      <xdr:row>2</xdr:row>
      <xdr:rowOff>20516</xdr:rowOff>
    </xdr:from>
    <xdr:to>
      <xdr:col>7</xdr:col>
      <xdr:colOff>659422</xdr:colOff>
      <xdr:row>2</xdr:row>
      <xdr:rowOff>181707</xdr:rowOff>
    </xdr:to>
    <xdr:pic>
      <xdr:nvPicPr>
        <xdr:cNvPr id="18" name="Gráfico 17" descr="Dinheiro com preenchimento sólido">
          <a:extLst>
            <a:ext uri="{FF2B5EF4-FFF2-40B4-BE49-F238E27FC236}">
              <a16:creationId xmlns:a16="http://schemas.microsoft.com/office/drawing/2014/main" id="{160C7193-3098-43D3-BF31-86E132863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4499981" y="1296866"/>
          <a:ext cx="161191" cy="161191"/>
        </a:xfrm>
        <a:prstGeom prst="rect">
          <a:avLst/>
        </a:prstGeom>
      </xdr:spPr>
    </xdr:pic>
    <xdr:clientData/>
  </xdr:twoCellAnchor>
  <xdr:twoCellAnchor editAs="oneCell">
    <xdr:from>
      <xdr:col>6</xdr:col>
      <xdr:colOff>718037</xdr:colOff>
      <xdr:row>2</xdr:row>
      <xdr:rowOff>27841</xdr:rowOff>
    </xdr:from>
    <xdr:to>
      <xdr:col>6</xdr:col>
      <xdr:colOff>864576</xdr:colOff>
      <xdr:row>2</xdr:row>
      <xdr:rowOff>174380</xdr:rowOff>
    </xdr:to>
    <xdr:pic>
      <xdr:nvPicPr>
        <xdr:cNvPr id="19" name="Gráfico 18" descr="Marcador com preenchimento sólido">
          <a:extLst>
            <a:ext uri="{FF2B5EF4-FFF2-40B4-BE49-F238E27FC236}">
              <a16:creationId xmlns:a16="http://schemas.microsoft.com/office/drawing/2014/main" id="{71281F22-937A-4DB0-8049-108BCC6D1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2557612" y="1304191"/>
          <a:ext cx="146539" cy="146539"/>
        </a:xfrm>
        <a:prstGeom prst="rect">
          <a:avLst/>
        </a:prstGeom>
      </xdr:spPr>
    </xdr:pic>
    <xdr:clientData/>
  </xdr:twoCellAnchor>
  <xdr:twoCellAnchor>
    <xdr:from>
      <xdr:col>8</xdr:col>
      <xdr:colOff>2476500</xdr:colOff>
      <xdr:row>5</xdr:row>
      <xdr:rowOff>32241</xdr:rowOff>
    </xdr:from>
    <xdr:to>
      <xdr:col>10</xdr:col>
      <xdr:colOff>95251</xdr:colOff>
      <xdr:row>17</xdr:row>
      <xdr:rowOff>105508</xdr:rowOff>
    </xdr:to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CC9E38C-5F5F-4AF3-995A-C6CEBC148929}"/>
            </a:ext>
          </a:extLst>
        </xdr:cNvPr>
        <xdr:cNvSpPr txBox="1"/>
      </xdr:nvSpPr>
      <xdr:spPr>
        <a:xfrm rot="16200000">
          <a:off x="17232192" y="2888274"/>
          <a:ext cx="2464042" cy="5238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venir Next LT Pro" panose="020B0504020202020204" pitchFamily="34" charset="0"/>
            </a:rPr>
            <a:t>CÉLULAS ADMINISTRATIVAS</a:t>
          </a:r>
        </a:p>
      </xdr:txBody>
    </xdr:sp>
    <xdr:clientData/>
  </xdr:twoCellAnchor>
  <xdr:twoCellAnchor>
    <xdr:from>
      <xdr:col>10</xdr:col>
      <xdr:colOff>1068267</xdr:colOff>
      <xdr:row>1</xdr:row>
      <xdr:rowOff>45429</xdr:rowOff>
    </xdr:from>
    <xdr:to>
      <xdr:col>12</xdr:col>
      <xdr:colOff>27841</xdr:colOff>
      <xdr:row>2</xdr:row>
      <xdr:rowOff>23448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2303809D-C87B-4EE5-9B6B-4F44B2A8C715}"/>
            </a:ext>
          </a:extLst>
        </xdr:cNvPr>
        <xdr:cNvSpPr txBox="1"/>
      </xdr:nvSpPr>
      <xdr:spPr>
        <a:xfrm>
          <a:off x="19699167" y="778854"/>
          <a:ext cx="3141049" cy="5209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200" b="1">
              <a:solidFill>
                <a:schemeClr val="bg1">
                  <a:lumMod val="85000"/>
                </a:schemeClr>
              </a:solidFill>
              <a:latin typeface="Avenir Next LT Pro" panose="020B0504020202020204" pitchFamily="34" charset="0"/>
            </a:rPr>
            <a:t>CÉLULAS ADMINISTRATIVAS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314325</xdr:colOff>
      <xdr:row>3</xdr:row>
      <xdr:rowOff>95250</xdr:rowOff>
    </xdr:from>
    <xdr:to>
      <xdr:col>21</xdr:col>
      <xdr:colOff>323850</xdr:colOff>
      <xdr:row>12</xdr:row>
      <xdr:rowOff>104775</xdr:rowOff>
    </xdr:to>
    <xdr:sp macro="[0]!AbrirTe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6D7757E-106A-FB8B-A525-49DB908B650F}"/>
            </a:ext>
          </a:extLst>
        </xdr:cNvPr>
        <xdr:cNvSpPr/>
      </xdr:nvSpPr>
      <xdr:spPr>
        <a:xfrm>
          <a:off x="4581525" y="1076325"/>
          <a:ext cx="8543925" cy="1724025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6600"/>
            <a:t>SELECIONAR</a:t>
          </a:r>
          <a:r>
            <a:rPr lang="pt-BR" sz="6600" baseline="0"/>
            <a:t> MÊS</a:t>
          </a:r>
          <a:endParaRPr lang="pt-BR" sz="6600"/>
        </a:p>
      </xdr:txBody>
    </xdr:sp>
    <xdr:clientData/>
  </xdr:twoCellAnchor>
  <xdr:twoCellAnchor>
    <xdr:from>
      <xdr:col>0</xdr:col>
      <xdr:colOff>9525</xdr:colOff>
      <xdr:row>0</xdr:row>
      <xdr:rowOff>28575</xdr:rowOff>
    </xdr:from>
    <xdr:to>
      <xdr:col>28</xdr:col>
      <xdr:colOff>542925</xdr:colOff>
      <xdr:row>0</xdr:row>
      <xdr:rowOff>885825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23D99DC5-BAD8-77F7-888C-34A3370BAAC1}"/>
            </a:ext>
          </a:extLst>
        </xdr:cNvPr>
        <xdr:cNvSpPr txBox="1"/>
      </xdr:nvSpPr>
      <xdr:spPr>
        <a:xfrm>
          <a:off x="9525" y="28575"/>
          <a:ext cx="17602200" cy="857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400">
              <a:solidFill>
                <a:schemeClr val="bg1"/>
              </a:solidFill>
            </a:rPr>
            <a:t>VOCÊ</a:t>
          </a:r>
          <a:r>
            <a:rPr lang="pt-BR" sz="2400" baseline="0">
              <a:solidFill>
                <a:schemeClr val="bg1"/>
              </a:solidFill>
            </a:rPr>
            <a:t> PODE COMEÇAR CLICANDO NO BOTÃO ABAIXO E SELECIONANDO A PLANILHA DESEJADA PARA ABRI-LÁ OU EXCLUI-LÁ </a:t>
          </a:r>
        </a:p>
      </xdr:txBody>
    </xdr:sp>
    <xdr:clientData/>
  </xdr:twoCellAnchor>
  <xdr:twoCellAnchor>
    <xdr:from>
      <xdr:col>7</xdr:col>
      <xdr:colOff>352425</xdr:colOff>
      <xdr:row>14</xdr:row>
      <xdr:rowOff>28575</xdr:rowOff>
    </xdr:from>
    <xdr:to>
      <xdr:col>21</xdr:col>
      <xdr:colOff>361950</xdr:colOff>
      <xdr:row>23</xdr:row>
      <xdr:rowOff>38100</xdr:rowOff>
    </xdr:to>
    <xdr:sp macro="[0]!criarNovaPlanilh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A406A78-E4BA-4523-9004-35188F85BF67}"/>
            </a:ext>
          </a:extLst>
        </xdr:cNvPr>
        <xdr:cNvSpPr/>
      </xdr:nvSpPr>
      <xdr:spPr>
        <a:xfrm>
          <a:off x="4619625" y="3105150"/>
          <a:ext cx="8543925" cy="1724025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6600"/>
            <a:t>ADICIONAR NOVO MÊS</a:t>
          </a:r>
        </a:p>
      </xdr:txBody>
    </xdr:sp>
    <xdr:clientData/>
  </xdr:twoCellAnchor>
  <xdr:twoCellAnchor>
    <xdr:from>
      <xdr:col>0</xdr:col>
      <xdr:colOff>0</xdr:colOff>
      <xdr:row>24</xdr:row>
      <xdr:rowOff>133350</xdr:rowOff>
    </xdr:from>
    <xdr:to>
      <xdr:col>28</xdr:col>
      <xdr:colOff>533400</xdr:colOff>
      <xdr:row>27</xdr:row>
      <xdr:rowOff>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A4490710-136E-4B0F-A68F-8C8881F238F5}"/>
            </a:ext>
          </a:extLst>
        </xdr:cNvPr>
        <xdr:cNvSpPr txBox="1"/>
      </xdr:nvSpPr>
      <xdr:spPr>
        <a:xfrm>
          <a:off x="0" y="5114925"/>
          <a:ext cx="17602200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400" baseline="0">
              <a:solidFill>
                <a:schemeClr val="tx1"/>
              </a:solidFill>
            </a:rPr>
            <a:t>v3.0 updated in 22/08/23 10:27pm by </a:t>
          </a:r>
          <a:r>
            <a:rPr lang="pt-BR" sz="1400" baseline="0">
              <a:solidFill>
                <a:schemeClr val="accent1">
                  <a:lumMod val="50000"/>
                </a:schemeClr>
              </a:solidFill>
            </a:rPr>
            <a:t>Liews Softwares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4D7E7-2F14-4454-BFF9-3DE22D774DF7}">
  <sheetPr codeName="Planilha5">
    <tabColor rgb="FFFFFF00"/>
  </sheetPr>
  <dimension ref="A1:AY3578"/>
  <sheetViews>
    <sheetView tabSelected="1" zoomScale="130" zoomScaleNormal="130" workbookViewId="0">
      <selection activeCell="K15" sqref="K15"/>
    </sheetView>
  </sheetViews>
  <sheetFormatPr defaultRowHeight="15" x14ac:dyDescent="0.25"/>
  <cols>
    <col min="1" max="1" width="36.7109375" style="8" customWidth="1"/>
    <col min="2" max="2" width="25.7109375" style="1" customWidth="1"/>
    <col min="3" max="3" width="46.28515625" style="8" customWidth="1"/>
    <col min="4" max="4" width="23.140625" style="8" customWidth="1"/>
    <col min="5" max="5" width="45.7109375" style="1" customWidth="1"/>
    <col min="6" max="6" width="1.85546875" hidden="1" customWidth="1"/>
    <col min="7" max="7" width="32.42578125" customWidth="1"/>
    <col min="8" max="8" width="25.85546875" customWidth="1"/>
    <col min="9" max="9" width="38.140625" customWidth="1"/>
    <col min="10" max="10" width="5.42578125" customWidth="1"/>
    <col min="11" max="11" width="33.85546875" customWidth="1"/>
    <col min="12" max="12" width="28.85546875" bestFit="1" customWidth="1"/>
    <col min="13" max="13" width="18.7109375" bestFit="1" customWidth="1"/>
    <col min="14" max="14" width="18.28515625" bestFit="1" customWidth="1"/>
    <col min="15" max="15" width="13.7109375" bestFit="1" customWidth="1"/>
    <col min="16" max="16" width="9" bestFit="1" customWidth="1"/>
  </cols>
  <sheetData>
    <row r="1" spans="1:51" ht="57.75" customHeight="1" x14ac:dyDescent="0.25">
      <c r="A1" s="31"/>
      <c r="B1" s="32"/>
      <c r="C1" s="34">
        <f>COUNTA($A3:$A99)</f>
        <v>0</v>
      </c>
      <c r="D1" s="35">
        <f ca="1">COUNTIF($D3:$D99,"VENCIDO")</f>
        <v>0</v>
      </c>
      <c r="E1" s="35">
        <f ca="1">COUNTIF($D3:$D99,"A VENCER")</f>
        <v>0</v>
      </c>
      <c r="F1" s="33"/>
      <c r="G1" s="33"/>
      <c r="H1" s="33"/>
      <c r="I1" s="33"/>
      <c r="J1" s="33"/>
      <c r="K1" s="33"/>
      <c r="L1" s="33"/>
    </row>
    <row r="2" spans="1:51" ht="42.75" customHeight="1" x14ac:dyDescent="0.25">
      <c r="A2" s="14" t="s">
        <v>3</v>
      </c>
      <c r="B2" s="15" t="s">
        <v>0</v>
      </c>
      <c r="C2" s="16" t="s">
        <v>1</v>
      </c>
      <c r="D2" s="16" t="s">
        <v>8</v>
      </c>
      <c r="E2" s="17" t="s">
        <v>16</v>
      </c>
      <c r="F2" s="12" t="s">
        <v>6</v>
      </c>
      <c r="G2" s="13"/>
      <c r="H2" s="13" t="s">
        <v>13</v>
      </c>
      <c r="I2" s="13"/>
      <c r="J2" s="40"/>
      <c r="K2" s="13"/>
      <c r="L2" s="40"/>
    </row>
    <row r="3" spans="1:51" ht="15.75" thickBot="1" x14ac:dyDescent="0.3">
      <c r="A3" s="3"/>
      <c r="B3" s="4"/>
      <c r="C3" s="9"/>
      <c r="D3" s="5"/>
      <c r="E3" s="6">
        <f ca="1">SUM(F3-E5)</f>
        <v>0</v>
      </c>
      <c r="F3" s="6">
        <f>SUM(H4:H22)</f>
        <v>0</v>
      </c>
      <c r="G3" s="18" t="s">
        <v>3</v>
      </c>
      <c r="H3" s="18" t="s">
        <v>0</v>
      </c>
      <c r="I3" s="18" t="s">
        <v>14</v>
      </c>
      <c r="J3" s="41"/>
      <c r="K3" s="10" t="s">
        <v>18</v>
      </c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</row>
    <row r="4" spans="1:51" ht="16.5" thickBot="1" x14ac:dyDescent="0.3">
      <c r="A4" s="3"/>
      <c r="B4" s="4"/>
      <c r="C4" s="9"/>
      <c r="D4" s="5"/>
      <c r="E4" s="13" t="s">
        <v>7</v>
      </c>
      <c r="F4" s="7"/>
      <c r="G4" s="22"/>
      <c r="H4" s="23"/>
      <c r="I4" s="36"/>
      <c r="J4" s="41"/>
      <c r="K4" s="21" t="s">
        <v>10</v>
      </c>
      <c r="L4" s="38"/>
      <c r="M4" s="38"/>
      <c r="N4" s="39"/>
      <c r="O4" s="39"/>
      <c r="P4" s="39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</row>
    <row r="5" spans="1:51" ht="15.75" thickBot="1" x14ac:dyDescent="0.3">
      <c r="A5" s="3"/>
      <c r="B5" s="4"/>
      <c r="C5" s="9"/>
      <c r="D5" s="5"/>
      <c r="E5" s="4">
        <f ca="1">SUMIFS(B3:B61, D3:D61,"A VENCER") + SUMIFS(B3:B61, D3:D61,"VENCIDO")</f>
        <v>0</v>
      </c>
      <c r="F5" s="7"/>
      <c r="G5" s="22"/>
      <c r="H5" s="23"/>
      <c r="I5" s="36"/>
      <c r="J5" s="41"/>
      <c r="K5" s="21" t="s">
        <v>11</v>
      </c>
      <c r="L5" s="38"/>
      <c r="M5" s="38"/>
      <c r="N5" s="39"/>
      <c r="O5" s="39"/>
      <c r="P5" s="39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</row>
    <row r="6" spans="1:51" ht="15.75" thickBot="1" x14ac:dyDescent="0.3">
      <c r="A6" s="3"/>
      <c r="B6" s="4"/>
      <c r="C6" s="9"/>
      <c r="D6" s="5"/>
      <c r="E6" s="7"/>
      <c r="F6" s="7"/>
      <c r="G6" s="25"/>
      <c r="H6" s="26"/>
      <c r="I6" s="37"/>
      <c r="J6" s="41"/>
      <c r="K6" s="21" t="s">
        <v>9</v>
      </c>
      <c r="L6" s="39"/>
      <c r="M6" s="39"/>
      <c r="N6" s="39"/>
      <c r="O6" s="39"/>
      <c r="P6" s="39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</row>
    <row r="7" spans="1:51" ht="15.75" thickBot="1" x14ac:dyDescent="0.3">
      <c r="A7" s="3"/>
      <c r="B7" s="4"/>
      <c r="C7" s="9"/>
      <c r="D7" s="5"/>
      <c r="E7" s="11" t="s">
        <v>12</v>
      </c>
      <c r="F7" s="7"/>
      <c r="G7" s="25"/>
      <c r="H7" s="26"/>
      <c r="I7" s="37"/>
      <c r="J7" s="42"/>
      <c r="K7" s="10" t="s">
        <v>19</v>
      </c>
      <c r="L7" s="39"/>
      <c r="M7" s="39"/>
      <c r="N7" s="39"/>
      <c r="O7" s="39"/>
      <c r="P7" s="39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</row>
    <row r="8" spans="1:51" ht="15.75" thickBot="1" x14ac:dyDescent="0.3">
      <c r="A8" s="3"/>
      <c r="B8" s="4"/>
      <c r="C8" s="9"/>
      <c r="D8" s="5"/>
      <c r="E8" s="3" t="str" cm="1">
        <f t="array" aca="1" ref="E8" ca="1">_xlfn.IFS($E3 &gt; 1000, "EXCELENTE CONTROLE", $E3 &gt; 500, "FINANCEIRAMENTE ESTÁVEL", $E3 &gt; 100, "ECONOMIZE!", $E3 &gt; 20, "NO VERMELHO", $E3 &lt; 21, "FINANCEIRAMENTE FÁLIDO")</f>
        <v>FINANCEIRAMENTE FÁLIDO</v>
      </c>
      <c r="F8" s="7"/>
      <c r="G8" s="25"/>
      <c r="H8" s="26"/>
      <c r="I8" s="37"/>
      <c r="J8" s="41"/>
      <c r="K8" s="21" t="s">
        <v>2</v>
      </c>
      <c r="L8" s="39"/>
      <c r="M8" s="39"/>
      <c r="N8" s="39"/>
      <c r="O8" s="39"/>
      <c r="P8" s="39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</row>
    <row r="9" spans="1:51" ht="15.75" thickBot="1" x14ac:dyDescent="0.3">
      <c r="A9" s="3"/>
      <c r="B9" s="4"/>
      <c r="C9" s="9"/>
      <c r="D9" s="5"/>
      <c r="F9" s="7"/>
      <c r="G9" s="25"/>
      <c r="H9" s="26"/>
      <c r="I9" s="27"/>
      <c r="J9" s="41"/>
      <c r="K9" s="21" t="s">
        <v>20</v>
      </c>
      <c r="L9" s="20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</row>
    <row r="10" spans="1:51" ht="15.75" thickBot="1" x14ac:dyDescent="0.3">
      <c r="A10" s="3"/>
      <c r="B10" s="4"/>
      <c r="C10" s="9"/>
      <c r="D10" s="5"/>
      <c r="F10" s="7"/>
      <c r="G10" s="25"/>
      <c r="H10" s="26"/>
      <c r="I10" s="27"/>
      <c r="J10" s="41"/>
      <c r="K10" s="21" t="s">
        <v>17</v>
      </c>
      <c r="L10" s="20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</row>
    <row r="11" spans="1:51" ht="15.75" thickBot="1" x14ac:dyDescent="0.3">
      <c r="A11" s="3"/>
      <c r="B11" s="4"/>
      <c r="C11" s="9"/>
      <c r="D11" s="5"/>
      <c r="F11" s="7"/>
      <c r="G11" s="25"/>
      <c r="H11" s="26"/>
      <c r="I11" s="27"/>
      <c r="J11" s="41"/>
      <c r="K11" s="21" t="s">
        <v>4</v>
      </c>
      <c r="L11" s="20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</row>
    <row r="12" spans="1:51" ht="15.75" thickBot="1" x14ac:dyDescent="0.3">
      <c r="A12" s="3"/>
      <c r="B12" s="4"/>
      <c r="C12" s="9"/>
      <c r="D12" s="5"/>
      <c r="F12" s="7"/>
      <c r="G12" s="25"/>
      <c r="H12" s="26"/>
      <c r="I12" s="27"/>
      <c r="J12" s="41"/>
      <c r="K12" s="21" t="s">
        <v>5</v>
      </c>
      <c r="L12" s="20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</row>
    <row r="13" spans="1:51" ht="15.75" thickBot="1" x14ac:dyDescent="0.3">
      <c r="A13" s="3"/>
      <c r="B13" s="4"/>
      <c r="C13" s="9"/>
      <c r="D13" s="5"/>
      <c r="E13" s="4"/>
      <c r="F13" s="7"/>
      <c r="G13" s="25"/>
      <c r="H13" s="26"/>
      <c r="I13" s="27"/>
      <c r="J13" s="41"/>
      <c r="K13" s="21" t="s">
        <v>21</v>
      </c>
      <c r="L13" s="20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</row>
    <row r="14" spans="1:51" ht="15.75" thickBot="1" x14ac:dyDescent="0.3">
      <c r="A14" s="3"/>
      <c r="B14" s="4"/>
      <c r="C14" s="9"/>
      <c r="D14" s="5"/>
      <c r="E14" s="4"/>
      <c r="F14" s="7"/>
      <c r="G14" s="25"/>
      <c r="H14" s="26"/>
      <c r="I14" s="27"/>
      <c r="J14" s="41"/>
      <c r="K14" s="21" t="s">
        <v>24</v>
      </c>
      <c r="L14" s="20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</row>
    <row r="15" spans="1:51" ht="15.75" thickBot="1" x14ac:dyDescent="0.3">
      <c r="A15" s="3"/>
      <c r="B15" s="4"/>
      <c r="C15" s="9"/>
      <c r="D15" s="5"/>
      <c r="E15" s="4"/>
      <c r="F15" s="7"/>
      <c r="G15" s="25"/>
      <c r="H15" s="26"/>
      <c r="I15" s="27"/>
      <c r="J15" s="41"/>
      <c r="K15" s="21" t="s">
        <v>22</v>
      </c>
      <c r="L15" s="20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</row>
    <row r="16" spans="1:51" ht="15.75" thickBot="1" x14ac:dyDescent="0.3">
      <c r="A16" s="3"/>
      <c r="B16" s="4"/>
      <c r="C16" s="9"/>
      <c r="D16" s="5" t="str" cm="1">
        <f t="array" aca="1" ref="D16" ca="1">_xlfn.IFS(AND($C16&lt;TODAY(),$C16&lt;&gt;""),"VENCIDO",AND($C16&gt;TODAY(),$C16&lt;&gt;""),"A VENCER",$C16="","")</f>
        <v/>
      </c>
      <c r="E16" s="4"/>
      <c r="F16" s="7"/>
      <c r="G16" s="25"/>
      <c r="H16" s="26"/>
      <c r="I16" s="27"/>
      <c r="J16" s="41"/>
      <c r="K16" s="21" t="s">
        <v>23</v>
      </c>
      <c r="L16" s="20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</row>
    <row r="17" spans="1:51" x14ac:dyDescent="0.25">
      <c r="A17" s="3"/>
      <c r="B17" s="4"/>
      <c r="C17" s="9"/>
      <c r="D17" s="5" t="str" cm="1">
        <f t="array" aca="1" ref="D17" ca="1">_xlfn.IFS(AND($C17&lt;TODAY(),$C17&lt;&gt;""),"VENCIDO",AND($C17&gt;TODAY(),$C17&lt;&gt;""),"A VENCER",$C17="","")</f>
        <v/>
      </c>
      <c r="E17" s="4"/>
      <c r="F17" s="7"/>
      <c r="G17" s="25"/>
      <c r="H17" s="26"/>
      <c r="I17" s="27"/>
      <c r="J17" s="41"/>
      <c r="K17" s="19"/>
      <c r="L17" s="20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</row>
    <row r="18" spans="1:51" x14ac:dyDescent="0.25">
      <c r="A18" s="3"/>
      <c r="B18" s="4"/>
      <c r="C18" s="9"/>
      <c r="D18" s="5" t="str" cm="1">
        <f t="array" aca="1" ref="D18" ca="1">_xlfn.IFS(AND($C18&lt;TODAY(),$C18&lt;&gt;""),"VENCIDO",AND($C18&gt;TODAY(),$C18&lt;&gt;""),"A VENCER",$C18="","")</f>
        <v/>
      </c>
      <c r="E18" s="4"/>
      <c r="F18" s="7"/>
      <c r="G18" s="25"/>
      <c r="H18" s="26"/>
      <c r="I18" s="27"/>
      <c r="J18" s="41"/>
      <c r="K18" s="19"/>
      <c r="L18" s="20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</row>
    <row r="19" spans="1:51" x14ac:dyDescent="0.25">
      <c r="A19" s="3"/>
      <c r="B19" s="4"/>
      <c r="C19" s="9"/>
      <c r="D19" s="5" t="str" cm="1">
        <f t="array" aca="1" ref="D19" ca="1">_xlfn.IFS(AND($C19&lt;TODAY(),$C19&lt;&gt;""),"VENCIDO",AND($C19&gt;TODAY(),$C19&lt;&gt;""),"A VENCER",$C19="","")</f>
        <v/>
      </c>
      <c r="F19" s="7"/>
      <c r="G19" s="25"/>
      <c r="H19" s="26"/>
      <c r="I19" s="27"/>
      <c r="J19" s="41"/>
      <c r="K19" s="19"/>
      <c r="L19" s="20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</row>
    <row r="20" spans="1:51" x14ac:dyDescent="0.25">
      <c r="A20" s="3"/>
      <c r="B20" s="4"/>
      <c r="C20" s="9"/>
      <c r="D20" s="5" t="str" cm="1">
        <f t="array" aca="1" ref="D20" ca="1">_xlfn.IFS(AND($C20&lt;TODAY(),$C20&lt;&gt;""),"VENCIDO",AND($C20&gt;TODAY(),$C20&lt;&gt;""),"A VENCER",$C20="","")</f>
        <v/>
      </c>
      <c r="E20" s="4"/>
      <c r="F20" s="7"/>
      <c r="G20" s="25"/>
      <c r="H20" s="26"/>
      <c r="I20" s="27"/>
      <c r="J20" s="41"/>
      <c r="K20" s="19"/>
      <c r="L20" s="20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</row>
    <row r="21" spans="1:51" x14ac:dyDescent="0.25">
      <c r="A21" s="3"/>
      <c r="B21" s="4"/>
      <c r="C21" s="9"/>
      <c r="D21" s="5" t="str" cm="1">
        <f t="array" aca="1" ref="D21" ca="1">_xlfn.IFS(AND($C21&lt;TODAY(),$C21&lt;&gt;""),"VENCIDO",AND($C21&gt;TODAY(),$C21&lt;&gt;""),"A VENCER",$C21="","")</f>
        <v/>
      </c>
      <c r="E21" s="4"/>
      <c r="F21" s="7"/>
      <c r="G21" s="25"/>
      <c r="H21" s="26"/>
      <c r="I21" s="24"/>
      <c r="J21" s="41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</row>
    <row r="22" spans="1:51" x14ac:dyDescent="0.25">
      <c r="A22" s="3"/>
      <c r="B22" s="4"/>
      <c r="C22" s="9"/>
      <c r="D22" s="5" t="str" cm="1">
        <f t="array" aca="1" ref="D22" ca="1">_xlfn.IFS(AND($C22&lt;TODAY(),$C22&lt;&gt;""),"VENCIDO",AND($C22&gt;TODAY(),$C22&lt;&gt;""),"A VENCER",$C22="","")</f>
        <v/>
      </c>
      <c r="E22" s="4"/>
      <c r="F22" s="7"/>
      <c r="G22" s="28"/>
      <c r="H22" s="29" t="s">
        <v>15</v>
      </c>
      <c r="I22" s="30">
        <f>SUM(H4:H22)</f>
        <v>0</v>
      </c>
      <c r="J22" s="41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</row>
    <row r="23" spans="1:51" x14ac:dyDescent="0.25">
      <c r="A23" s="3"/>
      <c r="B23" s="4"/>
      <c r="C23" s="9"/>
      <c r="D23" s="5" t="str" cm="1">
        <f t="array" aca="1" ref="D23" ca="1">_xlfn.IFS(AND($C23&lt;TODAY(),$C23&lt;&gt;""),"VENCIDO",AND($C23&gt;TODAY(),$C23&lt;&gt;""),"A VENCER",$C23="","")</f>
        <v/>
      </c>
      <c r="F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</row>
    <row r="24" spans="1:51" x14ac:dyDescent="0.25">
      <c r="A24" s="3"/>
      <c r="B24" s="4"/>
      <c r="C24" s="9"/>
      <c r="D24" s="5" t="str" cm="1">
        <f t="array" aca="1" ref="D24" ca="1">_xlfn.IFS(AND($C24&lt;TODAY(),$C24&lt;&gt;""),"VENCIDO",AND($C24&gt;TODAY(),$C24&lt;&gt;""),"A VENCER",$C24="","")</f>
        <v/>
      </c>
      <c r="F24" s="7"/>
      <c r="G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</row>
    <row r="25" spans="1:51" x14ac:dyDescent="0.25">
      <c r="A25" s="3"/>
      <c r="B25" s="4"/>
      <c r="C25" s="9"/>
      <c r="D25" s="5" t="str" cm="1">
        <f t="array" aca="1" ref="D25" ca="1">_xlfn.IFS(AND($C25&lt;TODAY(),$C25&lt;&gt;""),"VENCIDO",AND($C25&gt;TODAY(),$C25&lt;&gt;""),"A VENCER",$C25="","")</f>
        <v/>
      </c>
      <c r="F25" s="7"/>
      <c r="G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</row>
    <row r="26" spans="1:51" x14ac:dyDescent="0.25">
      <c r="A26" s="3"/>
      <c r="B26" s="4"/>
      <c r="C26" s="9"/>
      <c r="D26" s="5" t="str" cm="1">
        <f t="array" aca="1" ref="D26" ca="1">_xlfn.IFS(AND($C26&lt;TODAY(),$C26&lt;&gt;""),"VENCIDO",AND($C26&gt;TODAY(),$C26&lt;&gt;""),"A VENCER",$C26="","")</f>
        <v/>
      </c>
      <c r="F26" s="7"/>
      <c r="G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</row>
    <row r="27" spans="1:51" x14ac:dyDescent="0.25">
      <c r="A27" s="3"/>
      <c r="B27" s="4"/>
      <c r="C27" s="9"/>
      <c r="D27" s="5" t="str" cm="1">
        <f t="array" aca="1" ref="D27" ca="1">_xlfn.IFS(AND($C27&lt;TODAY(),$C27&lt;&gt;""),"VENCIDO",AND($C27&gt;TODAY(),$C27&lt;&gt;""),"A VENCER",$C27="","")</f>
        <v/>
      </c>
      <c r="E27" s="4"/>
      <c r="F27" s="7"/>
      <c r="G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</row>
    <row r="28" spans="1:51" x14ac:dyDescent="0.25">
      <c r="A28" s="3"/>
      <c r="B28" s="4"/>
      <c r="C28" s="9"/>
      <c r="D28" s="5" t="str" cm="1">
        <f t="array" aca="1" ref="D28" ca="1">_xlfn.IFS(AND($C28&lt;TODAY(),$C28&lt;&gt;""),"VENCIDO",AND($C28&gt;TODAY(),$C28&lt;&gt;""),"A VENCER",$C28="","")</f>
        <v/>
      </c>
      <c r="E28" s="4"/>
      <c r="F28" s="7"/>
      <c r="G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</row>
    <row r="29" spans="1:51" x14ac:dyDescent="0.25">
      <c r="A29" s="3"/>
      <c r="B29" s="4"/>
      <c r="C29" s="9"/>
      <c r="D29" s="5" t="str" cm="1">
        <f t="array" aca="1" ref="D29" ca="1">_xlfn.IFS(AND($C29&lt;TODAY(),$C29&lt;&gt;""),"VENCIDO",AND($C29&gt;TODAY(),$C29&lt;&gt;""),"A VENCER",$C29="","")</f>
        <v/>
      </c>
      <c r="E29" s="4"/>
      <c r="F29" s="7"/>
      <c r="G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</row>
    <row r="30" spans="1:51" x14ac:dyDescent="0.25">
      <c r="A30" s="3"/>
      <c r="B30" s="4"/>
      <c r="C30" s="9"/>
      <c r="D30" s="5" t="str" cm="1">
        <f t="array" aca="1" ref="D30" ca="1">_xlfn.IFS(AND($C30&lt;TODAY(),$C30&lt;&gt;""),"VENCIDO",AND($C30&gt;TODAY(),$C30&lt;&gt;""),"A VENCER",$C30="","")</f>
        <v/>
      </c>
      <c r="E30" s="4"/>
      <c r="F30" s="7"/>
      <c r="G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</row>
    <row r="31" spans="1:51" x14ac:dyDescent="0.25">
      <c r="A31" s="3"/>
      <c r="B31" s="4"/>
      <c r="C31" s="9"/>
      <c r="D31" s="5" t="str" cm="1">
        <f t="array" aca="1" ref="D31" ca="1">_xlfn.IFS(AND($C31&lt;TODAY(),$C31&lt;&gt;""),"VENCIDO",AND($C31&gt;TODAY(),$C31&lt;&gt;""),"A VENCER",$C31="","")</f>
        <v/>
      </c>
      <c r="E31" s="4"/>
      <c r="F31" s="7"/>
      <c r="G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</row>
    <row r="32" spans="1:51" x14ac:dyDescent="0.25">
      <c r="A32" s="3"/>
      <c r="B32" s="4"/>
      <c r="C32" s="9"/>
      <c r="D32" s="5" t="str" cm="1">
        <f t="array" aca="1" ref="D32" ca="1">_xlfn.IFS(AND($C32&lt;TODAY(),$C32&lt;&gt;""),"VENCIDO",AND($C32&gt;TODAY(),$C32&lt;&gt;""),"A VENCER",$C32="","")</f>
        <v/>
      </c>
      <c r="E32" s="4"/>
      <c r="F32" s="7"/>
      <c r="G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</row>
    <row r="33" spans="1:51" x14ac:dyDescent="0.25">
      <c r="A33" s="3"/>
      <c r="B33" s="4"/>
      <c r="C33" s="9"/>
      <c r="D33" s="5" t="str" cm="1">
        <f t="array" aca="1" ref="D33" ca="1">_xlfn.IFS(AND($C33&lt;TODAY(),$C33&lt;&gt;""),"VENCIDO",AND($C33&gt;TODAY(),$C33&lt;&gt;""),"A VENCER",$C33="","")</f>
        <v/>
      </c>
      <c r="E33" s="4"/>
      <c r="F33" s="7"/>
      <c r="G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</row>
    <row r="34" spans="1:51" x14ac:dyDescent="0.25">
      <c r="A34" s="3"/>
      <c r="B34" s="4"/>
      <c r="C34" s="9"/>
      <c r="D34" s="5" t="str" cm="1">
        <f t="array" aca="1" ref="D34" ca="1">_xlfn.IFS(AND($C34&lt;TODAY(),$C34&lt;&gt;""),"VENCIDO",AND($C34&gt;TODAY(),$C34&lt;&gt;""),"A VENCER",$C34="","")</f>
        <v/>
      </c>
      <c r="E34" s="4"/>
      <c r="F34" s="7"/>
      <c r="G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</row>
    <row r="35" spans="1:51" x14ac:dyDescent="0.25">
      <c r="A35" s="3"/>
      <c r="B35" s="4"/>
      <c r="C35" s="9"/>
      <c r="D35" s="5" t="str" cm="1">
        <f t="array" aca="1" ref="D35" ca="1">_xlfn.IFS(AND($C35&lt;TODAY(),$C35&lt;&gt;""),"VENCIDO",AND($C35&gt;TODAY(),$C35&lt;&gt;""),"A VENCER",$C35="","")</f>
        <v/>
      </c>
      <c r="F35" s="7"/>
      <c r="G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</row>
    <row r="36" spans="1:51" x14ac:dyDescent="0.25">
      <c r="A36" s="3"/>
      <c r="B36" s="4"/>
      <c r="C36" s="9"/>
      <c r="D36" s="5" t="str" cm="1">
        <f t="array" aca="1" ref="D36" ca="1">_xlfn.IFS(AND($C36&lt;TODAY(),$C36&lt;&gt;""),"VENCIDO",AND($C36&gt;TODAY(),$C36&lt;&gt;""),"A VENCER",$C36="","")</f>
        <v/>
      </c>
      <c r="F36" s="7"/>
      <c r="G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</row>
    <row r="37" spans="1:51" x14ac:dyDescent="0.25">
      <c r="A37" s="3"/>
      <c r="B37" s="4"/>
      <c r="C37" s="9"/>
      <c r="D37" s="5" t="str" cm="1">
        <f t="array" aca="1" ref="D37" ca="1">_xlfn.IFS(AND($C37&lt;TODAY(),$C37&lt;&gt;""),"VENCIDO",AND($C37&gt;TODAY(),$C37&lt;&gt;""),"A VENCER",$C37="","")</f>
        <v/>
      </c>
      <c r="F37" s="7"/>
      <c r="G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</row>
    <row r="38" spans="1:51" x14ac:dyDescent="0.25">
      <c r="A38" s="3"/>
      <c r="B38" s="4"/>
      <c r="C38" s="9"/>
      <c r="D38" s="5" t="str" cm="1">
        <f t="array" aca="1" ref="D38" ca="1">_xlfn.IFS(AND($C38&lt;TODAY(),$C38&lt;&gt;""),"VENCIDO",AND($C38&gt;TODAY(),$C38&lt;&gt;""),"A VENCER",$C38="","")</f>
        <v/>
      </c>
      <c r="F38" s="7"/>
      <c r="G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</row>
    <row r="39" spans="1:51" x14ac:dyDescent="0.25">
      <c r="A39" s="3"/>
      <c r="B39" s="4"/>
      <c r="C39" s="9"/>
      <c r="D39" s="5" t="str" cm="1">
        <f t="array" aca="1" ref="D39" ca="1">_xlfn.IFS(AND($C39&lt;TODAY(),$C39&lt;&gt;""),"VENCIDO",AND($C39&gt;TODAY(),$C39&lt;&gt;""),"A VENCER",$C39="","")</f>
        <v/>
      </c>
      <c r="E39" s="4"/>
      <c r="F39" s="7"/>
      <c r="G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</row>
    <row r="40" spans="1:51" x14ac:dyDescent="0.25">
      <c r="A40" s="3"/>
      <c r="B40" s="4"/>
      <c r="C40" s="9"/>
      <c r="D40" s="5" t="str" cm="1">
        <f t="array" aca="1" ref="D40" ca="1">_xlfn.IFS(AND($C40&lt;TODAY(),$C40&lt;&gt;""),"VENCIDO",AND($C40&gt;TODAY(),$C40&lt;&gt;""),"A VENCER",$C40="","")</f>
        <v/>
      </c>
      <c r="E40" s="4"/>
      <c r="F40" s="7"/>
      <c r="G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</row>
    <row r="41" spans="1:51" x14ac:dyDescent="0.25">
      <c r="A41" s="3"/>
      <c r="B41" s="4"/>
      <c r="C41" s="9"/>
      <c r="D41" s="5" t="str" cm="1">
        <f t="array" aca="1" ref="D41" ca="1">_xlfn.IFS(AND($C41&lt;TODAY(),$C41&lt;&gt;""),"VENCIDO",AND($C41&gt;TODAY(),$C41&lt;&gt;""),"A VENCER",$C41="","")</f>
        <v/>
      </c>
      <c r="E41" s="4"/>
      <c r="F41" s="7"/>
      <c r="G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</row>
    <row r="42" spans="1:51" x14ac:dyDescent="0.25">
      <c r="A42" s="3"/>
      <c r="B42" s="4"/>
      <c r="C42" s="9"/>
      <c r="D42" s="5" t="str" cm="1">
        <f t="array" aca="1" ref="D42" ca="1">_xlfn.IFS(AND($C42&lt;TODAY(),$C42&lt;&gt;""),"VENCIDO",AND($C42&gt;TODAY(),$C42&lt;&gt;""),"A VENCER",$C42="","")</f>
        <v/>
      </c>
      <c r="E42" s="4"/>
      <c r="F42" s="7"/>
      <c r="G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</row>
    <row r="43" spans="1:51" x14ac:dyDescent="0.25">
      <c r="A43" s="3"/>
      <c r="B43" s="4"/>
      <c r="C43" s="9"/>
      <c r="D43" s="5" t="str" cm="1">
        <f t="array" aca="1" ref="D43" ca="1">_xlfn.IFS(AND($C43&lt;TODAY(),$C43&lt;&gt;""),"VENCIDO",AND($C43&gt;TODAY(),$C43&lt;&gt;""),"A VENCER",$C43="","")</f>
        <v/>
      </c>
      <c r="E43" s="4"/>
      <c r="F43" s="7"/>
      <c r="G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</row>
    <row r="44" spans="1:51" x14ac:dyDescent="0.25">
      <c r="A44" s="3"/>
      <c r="B44" s="4"/>
      <c r="C44" s="9"/>
      <c r="D44" s="5" t="str" cm="1">
        <f t="array" aca="1" ref="D44" ca="1">_xlfn.IFS(AND($C44&lt;TODAY(),$C44&lt;&gt;""),"VENCIDO",AND($C44&gt;TODAY(),$C44&lt;&gt;""),"A VENCER",$C44="","")</f>
        <v/>
      </c>
      <c r="E44" s="4"/>
      <c r="F44" s="7"/>
      <c r="G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</row>
    <row r="45" spans="1:51" x14ac:dyDescent="0.25">
      <c r="A45" s="3"/>
      <c r="B45" s="4"/>
      <c r="C45" s="9"/>
      <c r="D45" s="5" t="str" cm="1">
        <f t="array" aca="1" ref="D45" ca="1">_xlfn.IFS(AND($C45&lt;TODAY(),$C45&lt;&gt;""),"VENCIDO",AND($C45&gt;TODAY(),$C45&lt;&gt;""),"A VENCER",$C45="","")</f>
        <v/>
      </c>
      <c r="E45" s="4"/>
      <c r="F45" s="7"/>
      <c r="G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</row>
    <row r="46" spans="1:51" x14ac:dyDescent="0.25">
      <c r="A46" s="3"/>
      <c r="B46" s="4"/>
      <c r="C46" s="9"/>
      <c r="D46" s="5" t="str" cm="1">
        <f t="array" aca="1" ref="D46" ca="1">_xlfn.IFS(AND($C46&lt;TODAY(),$C46&lt;&gt;""),"VENCIDO",AND($C46&gt;TODAY(),$C46&lt;&gt;""),"A VENCER",$C46="","")</f>
        <v/>
      </c>
      <c r="E46" s="4"/>
      <c r="F46" s="7"/>
      <c r="G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</row>
    <row r="47" spans="1:51" x14ac:dyDescent="0.25">
      <c r="A47" s="3"/>
      <c r="B47" s="4"/>
      <c r="C47" s="9"/>
      <c r="D47" s="5" t="str" cm="1">
        <f t="array" aca="1" ref="D47" ca="1">_xlfn.IFS(AND($C47&lt;TODAY(),$C47&lt;&gt;""),"VENCIDO",AND($C47&gt;TODAY(),$C47&lt;&gt;""),"A VENCER",$C47="","")</f>
        <v/>
      </c>
      <c r="E47" s="4"/>
      <c r="F47" s="7"/>
      <c r="G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</row>
    <row r="48" spans="1:51" x14ac:dyDescent="0.25">
      <c r="A48" s="3"/>
      <c r="B48" s="4"/>
      <c r="C48" s="9"/>
      <c r="D48" s="5" t="str" cm="1">
        <f t="array" aca="1" ref="D48" ca="1">_xlfn.IFS(AND($C48&lt;TODAY(),$C48&lt;&gt;""),"VENCIDO",AND($C48&gt;TODAY(),$C48&lt;&gt;""),"A VENCER",$C48="","")</f>
        <v/>
      </c>
      <c r="E48" s="4"/>
      <c r="F48" s="7"/>
      <c r="G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</row>
    <row r="49" spans="1:51" x14ac:dyDescent="0.25">
      <c r="A49" s="3"/>
      <c r="B49" s="4"/>
      <c r="C49" s="9"/>
      <c r="D49" s="5" t="str" cm="1">
        <f t="array" aca="1" ref="D49" ca="1">_xlfn.IFS(AND($C49&lt;TODAY(),$C49&lt;&gt;""),"VENCIDO",AND($C49&gt;TODAY(),$C49&lt;&gt;""),"A VENCER",$C49="","")</f>
        <v/>
      </c>
      <c r="E49" s="4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</row>
    <row r="50" spans="1:51" x14ac:dyDescent="0.25">
      <c r="A50" s="3"/>
      <c r="B50" s="4"/>
      <c r="C50" s="9"/>
      <c r="D50" s="5" t="str" cm="1">
        <f t="array" aca="1" ref="D50" ca="1">_xlfn.IFS(AND($C50&lt;TODAY(),$C50&lt;&gt;""),"VENCIDO",AND($C50&gt;TODAY(),$C50&lt;&gt;""),"A VENCER",$C50="","")</f>
        <v/>
      </c>
      <c r="E50" s="4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</row>
    <row r="51" spans="1:51" x14ac:dyDescent="0.25">
      <c r="A51" s="3"/>
      <c r="B51" s="4"/>
      <c r="C51" s="9"/>
      <c r="D51" s="5" t="str" cm="1">
        <f t="array" aca="1" ref="D51" ca="1">_xlfn.IFS(AND($C51&lt;TODAY(),$C51&lt;&gt;""),"VENCIDO",AND($C51&gt;TODAY(),$C51&lt;&gt;""),"A VENCER",$C51="","")</f>
        <v/>
      </c>
      <c r="E51" s="4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</row>
    <row r="52" spans="1:51" x14ac:dyDescent="0.25">
      <c r="A52" s="3"/>
      <c r="B52" s="4"/>
      <c r="C52" s="9"/>
      <c r="D52" s="5" t="str" cm="1">
        <f t="array" aca="1" ref="D52" ca="1">_xlfn.IFS(AND($C52&lt;TODAY(),$C52&lt;&gt;""),"VENCIDO",AND($C52&gt;TODAY(),$C52&lt;&gt;""),"A VENCER",$C52="","")</f>
        <v/>
      </c>
      <c r="E52" s="4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</row>
    <row r="53" spans="1:51" x14ac:dyDescent="0.25">
      <c r="A53" s="3"/>
      <c r="B53" s="4"/>
      <c r="C53" s="9"/>
      <c r="D53" s="5" t="str" cm="1">
        <f t="array" aca="1" ref="D53" ca="1">_xlfn.IFS(AND($C53&lt;TODAY(),$C53&lt;&gt;""),"VENCIDO",AND($C53&gt;TODAY(),$C53&lt;&gt;""),"A VENCER",$C53="","")</f>
        <v/>
      </c>
      <c r="E53" s="4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</row>
    <row r="54" spans="1:51" x14ac:dyDescent="0.25">
      <c r="A54" s="3"/>
      <c r="B54" s="4"/>
      <c r="C54" s="9"/>
      <c r="D54" s="5" t="str" cm="1">
        <f t="array" aca="1" ref="D54" ca="1">_xlfn.IFS(AND($C54&lt;TODAY(),$C54&lt;&gt;""),"VENCIDO",AND($C54&gt;TODAY(),$C54&lt;&gt;""),"A VENCER",$C54="","")</f>
        <v/>
      </c>
      <c r="E54" s="4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</row>
    <row r="55" spans="1:51" x14ac:dyDescent="0.25">
      <c r="A55" s="3"/>
      <c r="B55" s="4"/>
      <c r="C55" s="9"/>
      <c r="D55" s="5" t="str" cm="1">
        <f t="array" aca="1" ref="D55" ca="1">_xlfn.IFS(AND($C55&lt;TODAY(),$C55&lt;&gt;""),"VENCIDO",AND($C55&gt;TODAY(),$C55&lt;&gt;""),"A VENCER",$C55="","")</f>
        <v/>
      </c>
      <c r="E55" s="4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</row>
    <row r="56" spans="1:51" x14ac:dyDescent="0.25">
      <c r="A56" s="3"/>
      <c r="B56" s="4"/>
      <c r="C56" s="9"/>
      <c r="D56" s="5" t="str" cm="1">
        <f t="array" aca="1" ref="D56" ca="1">_xlfn.IFS(AND($C56&lt;TODAY(),$C56&lt;&gt;""),"VENCIDO",AND($C56&gt;TODAY(),$C56&lt;&gt;""),"A VENCER",$C56="","")</f>
        <v/>
      </c>
      <c r="E56" s="4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</row>
    <row r="57" spans="1:51" x14ac:dyDescent="0.25">
      <c r="A57" s="3"/>
      <c r="B57" s="4"/>
      <c r="C57" s="9"/>
      <c r="D57" s="5" t="str" cm="1">
        <f t="array" aca="1" ref="D57" ca="1">_xlfn.IFS(AND($C57&lt;TODAY(),$C57&lt;&gt;""),"VENCIDO",AND($C57&gt;TODAY(),$C57&lt;&gt;""),"A VENCER",$C57="","")</f>
        <v/>
      </c>
      <c r="E57" s="4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</row>
    <row r="58" spans="1:51" x14ac:dyDescent="0.25">
      <c r="A58" s="3"/>
      <c r="B58" s="4"/>
      <c r="C58" s="9"/>
      <c r="D58" s="5" t="str" cm="1">
        <f t="array" aca="1" ref="D58" ca="1">_xlfn.IFS(AND($C58&lt;TODAY(),$C58&lt;&gt;""),"VENCIDO",AND($C58&gt;TODAY(),$C58&lt;&gt;""),"A VENCER",$C58="","")</f>
        <v/>
      </c>
      <c r="E58" s="4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</row>
    <row r="59" spans="1:51" x14ac:dyDescent="0.25">
      <c r="A59" s="3"/>
      <c r="B59" s="4"/>
      <c r="C59" s="9"/>
      <c r="D59" s="5" t="str" cm="1">
        <f t="array" aca="1" ref="D59" ca="1">_xlfn.IFS(AND($C59&lt;TODAY(),$C59&lt;&gt;""),"VENCIDO",AND($C59&gt;TODAY(),$C59&lt;&gt;""),"A VENCER",$C59="","")</f>
        <v/>
      </c>
      <c r="E59" s="4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</row>
    <row r="60" spans="1:51" x14ac:dyDescent="0.25">
      <c r="A60" s="3"/>
      <c r="B60" s="4"/>
      <c r="C60" s="9"/>
      <c r="D60" s="5" t="str" cm="1">
        <f t="array" aca="1" ref="D60" ca="1">_xlfn.IFS(AND($C60&lt;TODAY(),$C60&lt;&gt;""),"VENCIDO",AND($C60&gt;TODAY(),$C60&lt;&gt;""),"A VENCER",$C60="","")</f>
        <v/>
      </c>
      <c r="E60" s="4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</row>
    <row r="61" spans="1:51" x14ac:dyDescent="0.25">
      <c r="A61" s="3"/>
      <c r="B61" s="4"/>
      <c r="C61" s="9"/>
      <c r="D61" s="5" t="str" cm="1">
        <f t="array" aca="1" ref="D61" ca="1">_xlfn.IFS(AND($C61&lt;TODAY(),$C61&lt;&gt;""),"VENCIDO",AND($C61&gt;TODAY(),$C61&lt;&gt;""),"A VENCER",$C61="","")</f>
        <v/>
      </c>
      <c r="E61" s="4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</row>
    <row r="62" spans="1:51" x14ac:dyDescent="0.25">
      <c r="A62"/>
      <c r="B62"/>
      <c r="C62" s="9"/>
      <c r="D62" s="5" t="str" cm="1">
        <f t="array" aca="1" ref="D62" ca="1">_xlfn.IFS(AND($C62&lt;TODAY(),$C62&lt;&gt;""),"VENCIDO",AND($C62&gt;TODAY(),$C62&lt;&gt;""),"A VENCER",$C62="","")</f>
        <v/>
      </c>
      <c r="E62"/>
    </row>
    <row r="63" spans="1:51" x14ac:dyDescent="0.25">
      <c r="A63"/>
      <c r="B63"/>
      <c r="C63" s="9"/>
      <c r="D63" s="5" t="str" cm="1">
        <f t="array" aca="1" ref="D63" ca="1">_xlfn.IFS(AND($C63&lt;TODAY(),$C63&lt;&gt;""),"VENCIDO",AND($C63&gt;TODAY(),$C63&lt;&gt;""),"A VENCER",$C63="","")</f>
        <v/>
      </c>
      <c r="E63"/>
    </row>
    <row r="64" spans="1:51" x14ac:dyDescent="0.25">
      <c r="A64"/>
      <c r="B64"/>
      <c r="C64" s="9"/>
      <c r="D64" s="5" t="str" cm="1">
        <f t="array" aca="1" ref="D64" ca="1">_xlfn.IFS(AND($C64&lt;TODAY(),$C64&lt;&gt;""),"VENCIDO",AND($C64&gt;TODAY(),$C64&lt;&gt;""),"A VENCER",$C64="","")</f>
        <v/>
      </c>
      <c r="E64"/>
    </row>
    <row r="65" spans="3:4" customFormat="1" x14ac:dyDescent="0.25">
      <c r="C65" s="9"/>
      <c r="D65" s="5" t="str" cm="1">
        <f t="array" aca="1" ref="D65" ca="1">_xlfn.IFS(AND($C65&lt;TODAY(),$C65&lt;&gt;""),"VENCIDO",AND($C65&gt;TODAY(),$C65&lt;&gt;""),"A VENCER",$C65="","")</f>
        <v/>
      </c>
    </row>
    <row r="66" spans="3:4" customFormat="1" x14ac:dyDescent="0.25">
      <c r="C66" s="9"/>
      <c r="D66" s="5" t="str" cm="1">
        <f t="array" aca="1" ref="D66" ca="1">_xlfn.IFS(AND($C66&lt;TODAY(),$C66&lt;&gt;""),"VENCIDO",AND($C66&gt;TODAY(),$C66&lt;&gt;""),"A VENCER",$C66="","")</f>
        <v/>
      </c>
    </row>
    <row r="67" spans="3:4" customFormat="1" x14ac:dyDescent="0.25">
      <c r="C67" s="9"/>
      <c r="D67" s="5" t="str" cm="1">
        <f t="array" aca="1" ref="D67" ca="1">_xlfn.IFS(AND($C67&lt;TODAY(),$C67&lt;&gt;""),"VENCIDO",AND($C67&gt;TODAY(),$C67&lt;&gt;""),"A VENCER",$C67="","")</f>
        <v/>
      </c>
    </row>
    <row r="68" spans="3:4" customFormat="1" x14ac:dyDescent="0.25">
      <c r="C68" s="9"/>
      <c r="D68" s="5" t="str" cm="1">
        <f t="array" aca="1" ref="D68" ca="1">_xlfn.IFS(AND($C68&lt;TODAY(),$C68&lt;&gt;""),"VENCIDO",AND($C68&gt;TODAY(),$C68&lt;&gt;""),"A VENCER",$C68="","")</f>
        <v/>
      </c>
    </row>
    <row r="69" spans="3:4" customFormat="1" x14ac:dyDescent="0.25">
      <c r="C69" s="9"/>
      <c r="D69" s="5" t="str" cm="1">
        <f t="array" aca="1" ref="D69" ca="1">_xlfn.IFS(AND($C69&lt;TODAY(),$C69&lt;&gt;""),"VENCIDO",AND($C69&gt;TODAY(),$C69&lt;&gt;""),"A VENCER",$C69="","")</f>
        <v/>
      </c>
    </row>
    <row r="70" spans="3:4" customFormat="1" x14ac:dyDescent="0.25">
      <c r="C70" s="9"/>
      <c r="D70" s="5" t="str" cm="1">
        <f t="array" aca="1" ref="D70" ca="1">_xlfn.IFS(AND($C70&lt;TODAY(),$C70&lt;&gt;""),"VENCIDO",AND($C70&gt;TODAY(),$C70&lt;&gt;""),"A VENCER",$C70="","")</f>
        <v/>
      </c>
    </row>
    <row r="71" spans="3:4" customFormat="1" x14ac:dyDescent="0.25">
      <c r="C71" s="9"/>
      <c r="D71" s="5" t="str" cm="1">
        <f t="array" aca="1" ref="D71" ca="1">_xlfn.IFS(AND($C71&lt;TODAY(),$C71&lt;&gt;""),"VENCIDO",AND($C71&gt;TODAY(),$C71&lt;&gt;""),"A VENCER",$C71="","")</f>
        <v/>
      </c>
    </row>
    <row r="72" spans="3:4" customFormat="1" x14ac:dyDescent="0.25">
      <c r="C72" s="9"/>
      <c r="D72" s="5" t="str" cm="1">
        <f t="array" aca="1" ref="D72" ca="1">_xlfn.IFS(AND($C72&lt;TODAY(),$C72&lt;&gt;""),"VENCIDO",AND($C72&gt;TODAY(),$C72&lt;&gt;""),"A VENCER",$C72="","")</f>
        <v/>
      </c>
    </row>
    <row r="73" spans="3:4" customFormat="1" x14ac:dyDescent="0.25">
      <c r="C73" s="9"/>
      <c r="D73" s="5" t="str" cm="1">
        <f t="array" aca="1" ref="D73" ca="1">_xlfn.IFS(AND($C73&lt;TODAY(),$C73&lt;&gt;""),"VENCIDO",AND($C73&gt;TODAY(),$C73&lt;&gt;""),"A VENCER",$C73="","")</f>
        <v/>
      </c>
    </row>
    <row r="74" spans="3:4" customFormat="1" x14ac:dyDescent="0.25">
      <c r="C74" s="9"/>
      <c r="D74" s="5" t="str" cm="1">
        <f t="array" aca="1" ref="D74" ca="1">_xlfn.IFS(AND($C74&lt;TODAY(),$C74&lt;&gt;""),"VENCIDO",AND($C74&gt;TODAY(),$C74&lt;&gt;""),"A VENCER",$C74="","")</f>
        <v/>
      </c>
    </row>
    <row r="75" spans="3:4" customFormat="1" x14ac:dyDescent="0.25">
      <c r="C75" s="9"/>
      <c r="D75" s="5" t="str" cm="1">
        <f t="array" aca="1" ref="D75" ca="1">_xlfn.IFS(AND($C75&lt;TODAY(),$C75&lt;&gt;""),"VENCIDO",AND($C75&gt;TODAY(),$C75&lt;&gt;""),"A VENCER",$C75="","")</f>
        <v/>
      </c>
    </row>
    <row r="76" spans="3:4" customFormat="1" x14ac:dyDescent="0.25">
      <c r="C76" s="9"/>
      <c r="D76" s="5" t="str" cm="1">
        <f t="array" aca="1" ref="D76" ca="1">_xlfn.IFS(AND($C76&lt;TODAY(),$C76&lt;&gt;""),"VENCIDO",AND($C76&gt;TODAY(),$C76&lt;&gt;""),"A VENCER",$C76="","")</f>
        <v/>
      </c>
    </row>
    <row r="77" spans="3:4" customFormat="1" x14ac:dyDescent="0.25">
      <c r="C77" s="9"/>
      <c r="D77" s="5" t="str" cm="1">
        <f t="array" aca="1" ref="D77" ca="1">_xlfn.IFS(AND($C77&lt;TODAY(),$C77&lt;&gt;""),"VENCIDO",AND($C77&gt;TODAY(),$C77&lt;&gt;""),"A VENCER",$C77="","")</f>
        <v/>
      </c>
    </row>
    <row r="78" spans="3:4" customFormat="1" x14ac:dyDescent="0.25">
      <c r="C78" s="9"/>
      <c r="D78" s="5" t="str" cm="1">
        <f t="array" aca="1" ref="D78" ca="1">_xlfn.IFS(AND($C78&lt;TODAY(),$C78&lt;&gt;""),"VENCIDO",AND($C78&gt;TODAY(),$C78&lt;&gt;""),"A VENCER",$C78="","")</f>
        <v/>
      </c>
    </row>
    <row r="79" spans="3:4" customFormat="1" x14ac:dyDescent="0.25">
      <c r="C79" s="9"/>
      <c r="D79" s="5" t="str" cm="1">
        <f t="array" aca="1" ref="D79" ca="1">_xlfn.IFS(AND($C79&lt;TODAY(),$C79&lt;&gt;""),"VENCIDO",AND($C79&gt;TODAY(),$C79&lt;&gt;""),"A VENCER",$C79="","")</f>
        <v/>
      </c>
    </row>
    <row r="80" spans="3:4" customFormat="1" x14ac:dyDescent="0.25">
      <c r="C80" s="9"/>
      <c r="D80" s="5" t="str" cm="1">
        <f t="array" aca="1" ref="D80" ca="1">_xlfn.IFS(AND($C80&lt;TODAY(),$C80&lt;&gt;""),"VENCIDO",AND($C80&gt;TODAY(),$C80&lt;&gt;""),"A VENCER",$C80="","")</f>
        <v/>
      </c>
    </row>
    <row r="81" spans="3:4" customFormat="1" x14ac:dyDescent="0.25">
      <c r="C81" s="9"/>
      <c r="D81" s="5" t="str" cm="1">
        <f t="array" aca="1" ref="D81" ca="1">_xlfn.IFS(AND($C81&lt;TODAY(),$C81&lt;&gt;""),"VENCIDO",AND($C81&gt;TODAY(),$C81&lt;&gt;""),"A VENCER",$C81="","")</f>
        <v/>
      </c>
    </row>
    <row r="82" spans="3:4" customFormat="1" x14ac:dyDescent="0.25">
      <c r="C82" s="9"/>
      <c r="D82" s="5" t="str" cm="1">
        <f t="array" aca="1" ref="D82" ca="1">_xlfn.IFS(AND($C82&lt;TODAY(),$C82&lt;&gt;""),"VENCIDO",AND($C82&gt;TODAY(),$C82&lt;&gt;""),"A VENCER",$C82="","")</f>
        <v/>
      </c>
    </row>
    <row r="83" spans="3:4" customFormat="1" x14ac:dyDescent="0.25">
      <c r="C83" s="9"/>
      <c r="D83" s="5" t="str" cm="1">
        <f t="array" aca="1" ref="D83" ca="1">_xlfn.IFS(AND($C83&lt;TODAY(),$C83&lt;&gt;""),"VENCIDO",AND($C83&gt;TODAY(),$C83&lt;&gt;""),"A VENCER",$C83="","")</f>
        <v/>
      </c>
    </row>
    <row r="84" spans="3:4" customFormat="1" x14ac:dyDescent="0.25">
      <c r="C84" s="9"/>
      <c r="D84" s="5" t="str" cm="1">
        <f t="array" aca="1" ref="D84" ca="1">_xlfn.IFS(AND($C84&lt;TODAY(),$C84&lt;&gt;""),"VENCIDO",AND($C84&gt;TODAY(),$C84&lt;&gt;""),"A VENCER",$C84="","")</f>
        <v/>
      </c>
    </row>
    <row r="85" spans="3:4" customFormat="1" x14ac:dyDescent="0.25">
      <c r="C85" s="9"/>
      <c r="D85" s="5" t="str" cm="1">
        <f t="array" aca="1" ref="D85" ca="1">_xlfn.IFS(AND($C85&lt;TODAY(),$C85&lt;&gt;""),"VENCIDO",AND($C85&gt;TODAY(),$C85&lt;&gt;""),"A VENCER",$C85="","")</f>
        <v/>
      </c>
    </row>
    <row r="86" spans="3:4" customFormat="1" x14ac:dyDescent="0.25">
      <c r="C86" s="9"/>
      <c r="D86" s="5" t="str" cm="1">
        <f t="array" aca="1" ref="D86" ca="1">_xlfn.IFS(AND($C86&lt;TODAY(),$C86&lt;&gt;""),"VENCIDO",AND($C86&gt;TODAY(),$C86&lt;&gt;""),"A VENCER",$C86="","")</f>
        <v/>
      </c>
    </row>
    <row r="87" spans="3:4" customFormat="1" x14ac:dyDescent="0.25">
      <c r="C87" s="9"/>
      <c r="D87" s="5" t="str" cm="1">
        <f t="array" aca="1" ref="D87" ca="1">_xlfn.IFS(AND($C87&lt;TODAY(),$C87&lt;&gt;""),"VENCIDO",AND($C87&gt;TODAY(),$C87&lt;&gt;""),"A VENCER",$C87="","")</f>
        <v/>
      </c>
    </row>
    <row r="88" spans="3:4" customFormat="1" x14ac:dyDescent="0.25">
      <c r="C88" s="9"/>
      <c r="D88" s="5" t="str" cm="1">
        <f t="array" aca="1" ref="D88" ca="1">_xlfn.IFS(AND($C88&lt;TODAY(),$C88&lt;&gt;""),"VENCIDO",AND($C88&gt;TODAY(),$C88&lt;&gt;""),"A VENCER",$C88="","")</f>
        <v/>
      </c>
    </row>
    <row r="89" spans="3:4" customFormat="1" x14ac:dyDescent="0.25">
      <c r="C89" s="9"/>
      <c r="D89" s="5" t="str" cm="1">
        <f t="array" aca="1" ref="D89" ca="1">_xlfn.IFS(AND($C89&lt;TODAY(),$C89&lt;&gt;""),"VENCIDO",AND($C89&gt;TODAY(),$C89&lt;&gt;""),"A VENCER",$C89="","")</f>
        <v/>
      </c>
    </row>
    <row r="90" spans="3:4" customFormat="1" x14ac:dyDescent="0.25">
      <c r="C90" s="9"/>
      <c r="D90" s="5" t="str" cm="1">
        <f t="array" aca="1" ref="D90" ca="1">_xlfn.IFS(AND($C90&lt;TODAY(),$C90&lt;&gt;""),"VENCIDO",AND($C90&gt;TODAY(),$C90&lt;&gt;""),"A VENCER",$C90="","")</f>
        <v/>
      </c>
    </row>
    <row r="91" spans="3:4" customFormat="1" x14ac:dyDescent="0.25">
      <c r="C91" s="9"/>
      <c r="D91" s="5" t="str" cm="1">
        <f t="array" aca="1" ref="D91" ca="1">_xlfn.IFS(AND($C91&lt;TODAY(),$C91&lt;&gt;""),"VENCIDO",AND($C91&gt;TODAY(),$C91&lt;&gt;""),"A VENCER",$C91="","")</f>
        <v/>
      </c>
    </row>
    <row r="92" spans="3:4" customFormat="1" x14ac:dyDescent="0.25">
      <c r="C92" s="9"/>
      <c r="D92" s="5" t="str" cm="1">
        <f t="array" aca="1" ref="D92" ca="1">_xlfn.IFS(AND($C92&lt;TODAY(),$C92&lt;&gt;""),"VENCIDO",AND($C92&gt;TODAY(),$C92&lt;&gt;""),"A VENCER",$C92="","")</f>
        <v/>
      </c>
    </row>
    <row r="93" spans="3:4" customFormat="1" x14ac:dyDescent="0.25">
      <c r="C93" s="9"/>
      <c r="D93" s="5" t="str" cm="1">
        <f t="array" aca="1" ref="D93" ca="1">_xlfn.IFS(AND($C93&lt;TODAY(),$C93&lt;&gt;""),"VENCIDO",AND($C93&gt;TODAY(),$C93&lt;&gt;""),"A VENCER",$C93="","")</f>
        <v/>
      </c>
    </row>
    <row r="94" spans="3:4" customFormat="1" x14ac:dyDescent="0.25">
      <c r="C94" s="9"/>
      <c r="D94" s="5" t="str" cm="1">
        <f t="array" aca="1" ref="D94" ca="1">_xlfn.IFS(AND($C94&lt;TODAY(),$C94&lt;&gt;""),"VENCIDO",AND($C94&gt;TODAY(),$C94&lt;&gt;""),"A VENCER",$C94="","")</f>
        <v/>
      </c>
    </row>
    <row r="95" spans="3:4" customFormat="1" x14ac:dyDescent="0.25">
      <c r="C95" s="9"/>
      <c r="D95" s="5" t="str" cm="1">
        <f t="array" aca="1" ref="D95" ca="1">_xlfn.IFS(AND($C95&lt;TODAY(),$C95&lt;&gt;""),"VENCIDO",AND($C95&gt;TODAY(),$C95&lt;&gt;""),"A VENCER",$C95="","")</f>
        <v/>
      </c>
    </row>
    <row r="96" spans="3:4" customFormat="1" x14ac:dyDescent="0.25">
      <c r="C96" s="9"/>
      <c r="D96" s="5" t="str" cm="1">
        <f t="array" aca="1" ref="D96" ca="1">_xlfn.IFS(AND($C96&lt;TODAY(),$C96&lt;&gt;""),"VENCIDO",AND($C96&gt;TODAY(),$C96&lt;&gt;""),"A VENCER",$C96="","")</f>
        <v/>
      </c>
    </row>
    <row r="97" spans="3:4" customFormat="1" x14ac:dyDescent="0.25">
      <c r="C97" s="9"/>
      <c r="D97" s="5" t="str" cm="1">
        <f t="array" aca="1" ref="D97" ca="1">_xlfn.IFS(AND($C97&lt;TODAY(),$C97&lt;&gt;""),"VENCIDO",AND($C97&gt;TODAY(),$C97&lt;&gt;""),"A VENCER",$C97="","")</f>
        <v/>
      </c>
    </row>
    <row r="98" spans="3:4" customFormat="1" x14ac:dyDescent="0.25">
      <c r="C98" s="9"/>
      <c r="D98" s="5" t="str" cm="1">
        <f t="array" aca="1" ref="D98" ca="1">_xlfn.IFS(AND($C98&lt;TODAY(),$C98&lt;&gt;""),"VENCIDO",AND($C98&gt;TODAY(),$C98&lt;&gt;""),"A VENCER",$C98="","")</f>
        <v/>
      </c>
    </row>
    <row r="99" spans="3:4" customFormat="1" x14ac:dyDescent="0.25">
      <c r="C99" s="9"/>
      <c r="D99" s="5" t="str" cm="1">
        <f t="array" aca="1" ref="D99" ca="1">_xlfn.IFS(AND($C99&lt;TODAY(),$C99&lt;&gt;""),"VENCIDO",AND($C99&gt;TODAY(),$C99&lt;&gt;""),"A VENCER",$C99="","")</f>
        <v/>
      </c>
    </row>
    <row r="100" spans="3:4" customFormat="1" x14ac:dyDescent="0.25">
      <c r="C100" s="9"/>
      <c r="D100" s="5" t="str" cm="1">
        <f t="array" aca="1" ref="D100" ca="1">_xlfn.IFS(AND($C100&lt;TODAY(),$C100&lt;&gt;""),"VENCIDO",AND($C100&gt;TODAY(),$C100&lt;&gt;""),"A VENCER",$C100="","")</f>
        <v/>
      </c>
    </row>
    <row r="101" spans="3:4" customFormat="1" x14ac:dyDescent="0.25">
      <c r="C101" s="9"/>
      <c r="D101" s="5" t="str" cm="1">
        <f t="array" aca="1" ref="D101" ca="1">_xlfn.IFS(AND($C101&lt;TODAY(),$C101&lt;&gt;""),"VENCIDO",AND($C101&gt;TODAY(),$C101&lt;&gt;""),"A VENCER",$C101="","")</f>
        <v/>
      </c>
    </row>
    <row r="102" spans="3:4" customFormat="1" x14ac:dyDescent="0.25">
      <c r="C102" s="9"/>
      <c r="D102" s="5" t="str" cm="1">
        <f t="array" aca="1" ref="D102" ca="1">_xlfn.IFS(AND($C102&lt;TODAY(),$C102&lt;&gt;""),"VENCIDO",AND($C102&gt;TODAY(),$C102&lt;&gt;""),"A VENCER",$C102="","")</f>
        <v/>
      </c>
    </row>
    <row r="103" spans="3:4" customFormat="1" x14ac:dyDescent="0.25">
      <c r="C103" s="9"/>
      <c r="D103" s="5" t="str" cm="1">
        <f t="array" aca="1" ref="D103" ca="1">_xlfn.IFS(AND($C103&lt;TODAY(),$C103&lt;&gt;""),"VENCIDO",AND($C103&gt;TODAY(),$C103&lt;&gt;""),"A VENCER",$C103="","")</f>
        <v/>
      </c>
    </row>
    <row r="104" spans="3:4" customFormat="1" x14ac:dyDescent="0.25">
      <c r="C104" s="9"/>
      <c r="D104" s="5" t="str" cm="1">
        <f t="array" aca="1" ref="D104" ca="1">_xlfn.IFS(AND($C104&lt;TODAY(),$C104&lt;&gt;""),"VENCIDO",AND($C104&gt;TODAY(),$C104&lt;&gt;""),"A VENCER",$C104="","")</f>
        <v/>
      </c>
    </row>
    <row r="105" spans="3:4" customFormat="1" x14ac:dyDescent="0.25">
      <c r="C105" s="9"/>
      <c r="D105" s="5" t="str" cm="1">
        <f t="array" aca="1" ref="D105" ca="1">_xlfn.IFS(AND($C105&lt;TODAY(),$C105&lt;&gt;""),"VENCIDO",AND($C105&gt;TODAY(),$C105&lt;&gt;""),"A VENCER",$C105="","")</f>
        <v/>
      </c>
    </row>
    <row r="106" spans="3:4" customFormat="1" x14ac:dyDescent="0.25">
      <c r="C106" s="9"/>
      <c r="D106" s="5" t="str" cm="1">
        <f t="array" aca="1" ref="D106" ca="1">_xlfn.IFS(AND($C106&lt;TODAY(),$C106&lt;&gt;""),"VENCIDO",AND($C106&gt;TODAY(),$C106&lt;&gt;""),"A VENCER",$C106="","")</f>
        <v/>
      </c>
    </row>
    <row r="107" spans="3:4" customFormat="1" x14ac:dyDescent="0.25">
      <c r="C107" s="9"/>
      <c r="D107" s="5" t="str" cm="1">
        <f t="array" aca="1" ref="D107" ca="1">_xlfn.IFS(AND($C107&lt;TODAY(),$C107&lt;&gt;""),"VENCIDO",AND($C107&gt;TODAY(),$C107&lt;&gt;""),"A VENCER",$C107="","")</f>
        <v/>
      </c>
    </row>
    <row r="108" spans="3:4" customFormat="1" x14ac:dyDescent="0.25">
      <c r="C108" s="9"/>
      <c r="D108" s="5" t="str" cm="1">
        <f t="array" aca="1" ref="D108" ca="1">_xlfn.IFS(AND($C108&lt;TODAY(),$C108&lt;&gt;""),"VENCIDO",AND($C108&gt;TODAY(),$C108&lt;&gt;""),"A VENCER",$C108="","")</f>
        <v/>
      </c>
    </row>
    <row r="109" spans="3:4" customFormat="1" x14ac:dyDescent="0.25">
      <c r="C109" s="9"/>
      <c r="D109" s="5" t="str" cm="1">
        <f t="array" aca="1" ref="D109" ca="1">_xlfn.IFS(AND($C109&lt;TODAY(),$C109&lt;&gt;""),"VENCIDO",AND($C109&gt;TODAY(),$C109&lt;&gt;""),"A VENCER",$C109="","")</f>
        <v/>
      </c>
    </row>
    <row r="110" spans="3:4" customFormat="1" x14ac:dyDescent="0.25">
      <c r="C110" s="9"/>
      <c r="D110" s="5" t="str" cm="1">
        <f t="array" aca="1" ref="D110" ca="1">_xlfn.IFS(AND($C110&lt;TODAY(),$C110&lt;&gt;""),"VENCIDO",AND($C110&gt;TODAY(),$C110&lt;&gt;""),"A VENCER",$C110="","")</f>
        <v/>
      </c>
    </row>
    <row r="111" spans="3:4" customFormat="1" x14ac:dyDescent="0.25">
      <c r="C111" s="9"/>
      <c r="D111" s="5" t="str" cm="1">
        <f t="array" aca="1" ref="D111" ca="1">_xlfn.IFS(AND($C111&lt;TODAY(),$C111&lt;&gt;""),"VENCIDO",AND($C111&gt;TODAY(),$C111&lt;&gt;""),"A VENCER",$C111="","")</f>
        <v/>
      </c>
    </row>
    <row r="112" spans="3:4" customFormat="1" x14ac:dyDescent="0.25">
      <c r="C112" s="9"/>
      <c r="D112" s="5" t="str" cm="1">
        <f t="array" aca="1" ref="D112" ca="1">_xlfn.IFS(AND($C112&lt;TODAY(),$C112&lt;&gt;""),"VENCIDO",AND($C112&gt;TODAY(),$C112&lt;&gt;""),"A VENCER",$C112="","")</f>
        <v/>
      </c>
    </row>
    <row r="113" spans="3:4" customFormat="1" x14ac:dyDescent="0.25">
      <c r="C113" s="9"/>
      <c r="D113" s="5" t="str" cm="1">
        <f t="array" aca="1" ref="D113" ca="1">_xlfn.IFS(AND($C113&lt;TODAY(),$C113&lt;&gt;""),"VENCIDO",AND($C113&gt;TODAY(),$C113&lt;&gt;""),"A VENCER",$C113="","")</f>
        <v/>
      </c>
    </row>
    <row r="114" spans="3:4" customFormat="1" x14ac:dyDescent="0.25">
      <c r="C114" s="9"/>
      <c r="D114" s="5" t="str" cm="1">
        <f t="array" aca="1" ref="D114" ca="1">_xlfn.IFS(AND($C114&lt;TODAY(),$C114&lt;&gt;""),"VENCIDO",AND($C114&gt;TODAY(),$C114&lt;&gt;""),"A VENCER",$C114="","")</f>
        <v/>
      </c>
    </row>
    <row r="115" spans="3:4" customFormat="1" x14ac:dyDescent="0.25">
      <c r="C115" s="9"/>
      <c r="D115" s="5" t="str" cm="1">
        <f t="array" aca="1" ref="D115" ca="1">_xlfn.IFS(AND($C115&lt;TODAY(),$C115&lt;&gt;""),"VENCIDO",AND($C115&gt;TODAY(),$C115&lt;&gt;""),"A VENCER",$C115="","")</f>
        <v/>
      </c>
    </row>
    <row r="116" spans="3:4" customFormat="1" x14ac:dyDescent="0.25">
      <c r="C116" s="9"/>
      <c r="D116" s="5" t="str" cm="1">
        <f t="array" aca="1" ref="D116" ca="1">_xlfn.IFS(AND($C116&lt;TODAY(),$C116&lt;&gt;""),"VENCIDO",AND($C116&gt;TODAY(),$C116&lt;&gt;""),"A VENCER",$C116="","")</f>
        <v/>
      </c>
    </row>
    <row r="117" spans="3:4" customFormat="1" x14ac:dyDescent="0.25">
      <c r="C117" s="9"/>
      <c r="D117" s="5" t="str" cm="1">
        <f t="array" aca="1" ref="D117" ca="1">_xlfn.IFS(AND($C117&lt;TODAY(),$C117&lt;&gt;""),"VENCIDO",AND($C117&gt;TODAY(),$C117&lt;&gt;""),"A VENCER",$C117="","")</f>
        <v/>
      </c>
    </row>
    <row r="118" spans="3:4" customFormat="1" x14ac:dyDescent="0.25">
      <c r="C118" s="9"/>
      <c r="D118" s="5" t="str" cm="1">
        <f t="array" aca="1" ref="D118" ca="1">_xlfn.IFS(AND($C118&lt;TODAY(),$C118&lt;&gt;""),"VENCIDO",AND($C118&gt;TODAY(),$C118&lt;&gt;""),"A VENCER",$C118="","")</f>
        <v/>
      </c>
    </row>
    <row r="119" spans="3:4" customFormat="1" x14ac:dyDescent="0.25">
      <c r="C119" s="9"/>
      <c r="D119" s="5" t="str" cm="1">
        <f t="array" aca="1" ref="D119" ca="1">_xlfn.IFS(AND($C119&lt;TODAY(),$C119&lt;&gt;""),"VENCIDO",AND($C119&gt;TODAY(),$C119&lt;&gt;""),"A VENCER",$C119="","")</f>
        <v/>
      </c>
    </row>
    <row r="120" spans="3:4" customFormat="1" x14ac:dyDescent="0.25">
      <c r="C120" s="9"/>
      <c r="D120" s="5" t="str" cm="1">
        <f t="array" aca="1" ref="D120" ca="1">_xlfn.IFS(AND($C120&lt;TODAY(),$C120&lt;&gt;""),"VENCIDO",AND($C120&gt;TODAY(),$C120&lt;&gt;""),"A VENCER",$C120="","")</f>
        <v/>
      </c>
    </row>
    <row r="121" spans="3:4" customFormat="1" x14ac:dyDescent="0.25">
      <c r="C121" s="9"/>
      <c r="D121" s="5" t="str" cm="1">
        <f t="array" aca="1" ref="D121" ca="1">_xlfn.IFS(AND($C121&lt;TODAY(),$C121&lt;&gt;""),"VENCIDO",AND($C121&gt;TODAY(),$C121&lt;&gt;""),"A VENCER",$C121="","")</f>
        <v/>
      </c>
    </row>
    <row r="122" spans="3:4" customFormat="1" x14ac:dyDescent="0.25">
      <c r="C122" s="9"/>
      <c r="D122" s="5" t="str" cm="1">
        <f t="array" aca="1" ref="D122" ca="1">_xlfn.IFS(AND($C122&lt;TODAY(),$C122&lt;&gt;""),"VENCIDO",AND($C122&gt;TODAY(),$C122&lt;&gt;""),"A VENCER",$C122="","")</f>
        <v/>
      </c>
    </row>
    <row r="123" spans="3:4" customFormat="1" x14ac:dyDescent="0.25">
      <c r="C123" s="9"/>
      <c r="D123" s="5" t="str" cm="1">
        <f t="array" aca="1" ref="D123" ca="1">_xlfn.IFS(AND($C123&lt;TODAY(),$C123&lt;&gt;""),"VENCIDO",AND($C123&gt;TODAY(),$C123&lt;&gt;""),"A VENCER",$C123="","")</f>
        <v/>
      </c>
    </row>
    <row r="124" spans="3:4" customFormat="1" x14ac:dyDescent="0.25">
      <c r="C124" s="9"/>
      <c r="D124" s="5" t="str" cm="1">
        <f t="array" aca="1" ref="D124" ca="1">_xlfn.IFS(AND($C124&lt;TODAY(),$C124&lt;&gt;""),"VENCIDO",AND($C124&gt;TODAY(),$C124&lt;&gt;""),"A VENCER",$C124="","")</f>
        <v/>
      </c>
    </row>
    <row r="125" spans="3:4" customFormat="1" x14ac:dyDescent="0.25">
      <c r="C125" s="9"/>
      <c r="D125" s="5" t="str" cm="1">
        <f t="array" aca="1" ref="D125" ca="1">_xlfn.IFS(AND($C125&lt;TODAY(),$C125&lt;&gt;""),"VENCIDO",AND($C125&gt;TODAY(),$C125&lt;&gt;""),"A VENCER",$C125="","")</f>
        <v/>
      </c>
    </row>
    <row r="126" spans="3:4" customFormat="1" x14ac:dyDescent="0.25">
      <c r="C126" s="9"/>
      <c r="D126" s="5" t="str" cm="1">
        <f t="array" aca="1" ref="D126" ca="1">_xlfn.IFS(AND($C126&lt;TODAY(),$C126&lt;&gt;""),"VENCIDO",AND($C126&gt;TODAY(),$C126&lt;&gt;""),"A VENCER",$C126="","")</f>
        <v/>
      </c>
    </row>
    <row r="127" spans="3:4" customFormat="1" x14ac:dyDescent="0.25">
      <c r="C127" s="9"/>
      <c r="D127" s="5" t="str" cm="1">
        <f t="array" aca="1" ref="D127" ca="1">_xlfn.IFS(AND($C127&lt;TODAY(),$C127&lt;&gt;""),"VENCIDO",AND($C127&gt;TODAY(),$C127&lt;&gt;""),"A VENCER",$C127="","")</f>
        <v/>
      </c>
    </row>
    <row r="128" spans="3:4" customFormat="1" x14ac:dyDescent="0.25">
      <c r="C128" s="9"/>
      <c r="D128" s="5" t="str" cm="1">
        <f t="array" aca="1" ref="D128" ca="1">_xlfn.IFS(AND($C128&lt;TODAY(),$C128&lt;&gt;""),"VENCIDO",AND($C128&gt;TODAY(),$C128&lt;&gt;""),"A VENCER",$C128="","")</f>
        <v/>
      </c>
    </row>
    <row r="129" spans="3:4" customFormat="1" x14ac:dyDescent="0.25">
      <c r="C129" s="9"/>
      <c r="D129" s="5" t="str" cm="1">
        <f t="array" aca="1" ref="D129" ca="1">_xlfn.IFS(AND($C129&lt;TODAY(),$C129&lt;&gt;""),"VENCIDO",AND($C129&gt;TODAY(),$C129&lt;&gt;""),"A VENCER",$C129="","")</f>
        <v/>
      </c>
    </row>
    <row r="130" spans="3:4" customFormat="1" x14ac:dyDescent="0.25">
      <c r="C130" s="9"/>
      <c r="D130" s="5" t="str" cm="1">
        <f t="array" aca="1" ref="D130" ca="1">_xlfn.IFS(AND($C130&lt;TODAY(),$C130&lt;&gt;""),"VENCIDO",AND($C130&gt;TODAY(),$C130&lt;&gt;""),"A VENCER",$C130="","")</f>
        <v/>
      </c>
    </row>
    <row r="131" spans="3:4" customFormat="1" x14ac:dyDescent="0.25">
      <c r="C131" s="9"/>
      <c r="D131" s="5" t="str" cm="1">
        <f t="array" aca="1" ref="D131" ca="1">_xlfn.IFS(AND($C131&lt;TODAY(),$C131&lt;&gt;""),"VENCIDO",AND($C131&gt;TODAY(),$C131&lt;&gt;""),"A VENCER",$C131="","")</f>
        <v/>
      </c>
    </row>
    <row r="132" spans="3:4" customFormat="1" x14ac:dyDescent="0.25">
      <c r="C132" s="9"/>
      <c r="D132" s="5" t="str" cm="1">
        <f t="array" aca="1" ref="D132" ca="1">_xlfn.IFS(AND($C132&lt;TODAY(),$C132&lt;&gt;""),"VENCIDO",AND($C132&gt;TODAY(),$C132&lt;&gt;""),"A VENCER",$C132="","")</f>
        <v/>
      </c>
    </row>
    <row r="133" spans="3:4" customFormat="1" x14ac:dyDescent="0.25">
      <c r="C133" s="9"/>
      <c r="D133" s="5" t="str" cm="1">
        <f t="array" aca="1" ref="D133" ca="1">_xlfn.IFS(AND($C133&lt;TODAY(),$C133&lt;&gt;""),"VENCIDO",AND($C133&gt;TODAY(),$C133&lt;&gt;""),"A VENCER",$C133="","")</f>
        <v/>
      </c>
    </row>
    <row r="134" spans="3:4" customFormat="1" x14ac:dyDescent="0.25">
      <c r="C134" s="9"/>
      <c r="D134" s="5" t="str" cm="1">
        <f t="array" aca="1" ref="D134" ca="1">_xlfn.IFS(AND($C134&lt;TODAY(),$C134&lt;&gt;""),"VENCIDO",AND($C134&gt;TODAY(),$C134&lt;&gt;""),"A VENCER",$C134="","")</f>
        <v/>
      </c>
    </row>
    <row r="135" spans="3:4" customFormat="1" x14ac:dyDescent="0.25">
      <c r="C135" s="9"/>
      <c r="D135" s="5" t="str" cm="1">
        <f t="array" aca="1" ref="D135" ca="1">_xlfn.IFS(AND($C135&lt;TODAY(),$C135&lt;&gt;""),"VENCIDO",AND($C135&gt;TODAY(),$C135&lt;&gt;""),"A VENCER",$C135="","")</f>
        <v/>
      </c>
    </row>
    <row r="136" spans="3:4" customFormat="1" x14ac:dyDescent="0.25">
      <c r="C136" s="9"/>
      <c r="D136" s="5" t="str" cm="1">
        <f t="array" aca="1" ref="D136" ca="1">_xlfn.IFS(AND($C136&lt;TODAY(),$C136&lt;&gt;""),"VENCIDO",AND($C136&gt;TODAY(),$C136&lt;&gt;""),"A VENCER",$C136="","")</f>
        <v/>
      </c>
    </row>
    <row r="137" spans="3:4" customFormat="1" x14ac:dyDescent="0.25">
      <c r="C137" s="9"/>
      <c r="D137" s="5" t="str" cm="1">
        <f t="array" aca="1" ref="D137" ca="1">_xlfn.IFS(AND($C137&lt;TODAY(),$C137&lt;&gt;""),"VENCIDO",AND($C137&gt;TODAY(),$C137&lt;&gt;""),"A VENCER",$C137="","")</f>
        <v/>
      </c>
    </row>
    <row r="138" spans="3:4" customFormat="1" x14ac:dyDescent="0.25">
      <c r="C138" s="9"/>
      <c r="D138" s="5" t="str" cm="1">
        <f t="array" aca="1" ref="D138" ca="1">_xlfn.IFS(AND($C138&lt;TODAY(),$C138&lt;&gt;""),"VENCIDO",AND($C138&gt;TODAY(),$C138&lt;&gt;""),"A VENCER",$C138="","")</f>
        <v/>
      </c>
    </row>
    <row r="139" spans="3:4" customFormat="1" x14ac:dyDescent="0.25">
      <c r="C139" s="9"/>
      <c r="D139" s="5" t="str" cm="1">
        <f t="array" aca="1" ref="D139" ca="1">_xlfn.IFS(AND($C139&lt;TODAY(),$C139&lt;&gt;""),"VENCIDO",AND($C139&gt;TODAY(),$C139&lt;&gt;""),"A VENCER",$C139="","")</f>
        <v/>
      </c>
    </row>
    <row r="140" spans="3:4" customFormat="1" x14ac:dyDescent="0.25">
      <c r="C140" s="9"/>
      <c r="D140" s="5" t="str" cm="1">
        <f t="array" aca="1" ref="D140" ca="1">_xlfn.IFS(AND($C140&lt;TODAY(),$C140&lt;&gt;""),"VENCIDO",AND($C140&gt;TODAY(),$C140&lt;&gt;""),"A VENCER",$C140="","")</f>
        <v/>
      </c>
    </row>
    <row r="141" spans="3:4" customFormat="1" x14ac:dyDescent="0.25">
      <c r="C141" s="9"/>
      <c r="D141" s="5" t="str" cm="1">
        <f t="array" aca="1" ref="D141" ca="1">_xlfn.IFS(AND($C141&lt;TODAY(),$C141&lt;&gt;""),"VENCIDO",AND($C141&gt;TODAY(),$C141&lt;&gt;""),"A VENCER",$C141="","")</f>
        <v/>
      </c>
    </row>
    <row r="142" spans="3:4" customFormat="1" x14ac:dyDescent="0.25">
      <c r="C142" s="9"/>
      <c r="D142" s="5" t="str" cm="1">
        <f t="array" aca="1" ref="D142" ca="1">_xlfn.IFS(AND($C142&lt;TODAY(),$C142&lt;&gt;""),"VENCIDO",AND($C142&gt;TODAY(),$C142&lt;&gt;""),"A VENCER",$C142="","")</f>
        <v/>
      </c>
    </row>
    <row r="143" spans="3:4" customFormat="1" x14ac:dyDescent="0.25">
      <c r="C143" s="9"/>
      <c r="D143" s="5" t="str" cm="1">
        <f t="array" aca="1" ref="D143" ca="1">_xlfn.IFS(AND($C143&lt;TODAY(),$C143&lt;&gt;""),"VENCIDO",AND($C143&gt;TODAY(),$C143&lt;&gt;""),"A VENCER",$C143="","")</f>
        <v/>
      </c>
    </row>
    <row r="144" spans="3:4" customFormat="1" x14ac:dyDescent="0.25">
      <c r="C144" s="9"/>
      <c r="D144" s="5" t="str" cm="1">
        <f t="array" aca="1" ref="D144" ca="1">_xlfn.IFS(AND($C144&lt;TODAY(),$C144&lt;&gt;""),"VENCIDO",AND($C144&gt;TODAY(),$C144&lt;&gt;""),"A VENCER",$C144="","")</f>
        <v/>
      </c>
    </row>
    <row r="145" spans="3:4" customFormat="1" x14ac:dyDescent="0.25">
      <c r="C145" s="9"/>
      <c r="D145" s="5" t="str" cm="1">
        <f t="array" aca="1" ref="D145" ca="1">_xlfn.IFS(AND($C145&lt;TODAY(),$C145&lt;&gt;""),"VENCIDO",AND($C145&gt;TODAY(),$C145&lt;&gt;""),"A VENCER",$C145="","")</f>
        <v/>
      </c>
    </row>
    <row r="146" spans="3:4" customFormat="1" x14ac:dyDescent="0.25">
      <c r="C146" s="9"/>
      <c r="D146" s="5" t="str" cm="1">
        <f t="array" aca="1" ref="D146" ca="1">_xlfn.IFS(AND($C146&lt;TODAY(),$C146&lt;&gt;""),"VENCIDO",AND($C146&gt;TODAY(),$C146&lt;&gt;""),"A VENCER",$C146="","")</f>
        <v/>
      </c>
    </row>
    <row r="147" spans="3:4" customFormat="1" x14ac:dyDescent="0.25">
      <c r="C147" s="9"/>
      <c r="D147" s="5" t="str" cm="1">
        <f t="array" aca="1" ref="D147" ca="1">_xlfn.IFS(AND($C147&lt;TODAY(),$C147&lt;&gt;""),"VENCIDO",AND($C147&gt;TODAY(),$C147&lt;&gt;""),"A VENCER",$C147="","")</f>
        <v/>
      </c>
    </row>
    <row r="148" spans="3:4" customFormat="1" x14ac:dyDescent="0.25">
      <c r="C148" s="9"/>
      <c r="D148" s="5" t="str" cm="1">
        <f t="array" aca="1" ref="D148" ca="1">_xlfn.IFS(AND($C148&lt;TODAY(),$C148&lt;&gt;""),"VENCIDO",AND($C148&gt;TODAY(),$C148&lt;&gt;""),"A VENCER",$C148="","")</f>
        <v/>
      </c>
    </row>
    <row r="149" spans="3:4" customFormat="1" x14ac:dyDescent="0.25">
      <c r="C149" s="9"/>
      <c r="D149" s="5" t="str" cm="1">
        <f t="array" aca="1" ref="D149" ca="1">_xlfn.IFS(AND($C149&lt;TODAY(),$C149&lt;&gt;""),"VENCIDO",AND($C149&gt;TODAY(),$C149&lt;&gt;""),"A VENCER",$C149="","")</f>
        <v/>
      </c>
    </row>
    <row r="150" spans="3:4" customFormat="1" x14ac:dyDescent="0.25">
      <c r="C150" s="9"/>
      <c r="D150" s="5" t="str" cm="1">
        <f t="array" aca="1" ref="D150" ca="1">_xlfn.IFS(AND($C150&lt;TODAY(),$C150&lt;&gt;""),"VENCIDO",AND($C150&gt;TODAY(),$C150&lt;&gt;""),"A VENCER",$C150="","")</f>
        <v/>
      </c>
    </row>
    <row r="151" spans="3:4" customFormat="1" x14ac:dyDescent="0.25">
      <c r="C151" s="9"/>
      <c r="D151" s="5" t="str" cm="1">
        <f t="array" aca="1" ref="D151" ca="1">_xlfn.IFS(AND($C151&lt;TODAY(),$C151&lt;&gt;""),"VENCIDO",AND($C151&gt;TODAY(),$C151&lt;&gt;""),"A VENCER",$C151="","")</f>
        <v/>
      </c>
    </row>
    <row r="152" spans="3:4" customFormat="1" x14ac:dyDescent="0.25">
      <c r="C152" s="9"/>
      <c r="D152" s="5" t="str" cm="1">
        <f t="array" aca="1" ref="D152" ca="1">_xlfn.IFS(AND($C152&lt;TODAY(),$C152&lt;&gt;""),"VENCIDO",AND($C152&gt;TODAY(),$C152&lt;&gt;""),"A VENCER",$C152="","")</f>
        <v/>
      </c>
    </row>
    <row r="153" spans="3:4" customFormat="1" x14ac:dyDescent="0.25">
      <c r="C153" s="9"/>
      <c r="D153" s="5" t="str" cm="1">
        <f t="array" aca="1" ref="D153" ca="1">_xlfn.IFS(AND($C153&lt;TODAY(),$C153&lt;&gt;""),"VENCIDO",AND($C153&gt;TODAY(),$C153&lt;&gt;""),"A VENCER",$C153="","")</f>
        <v/>
      </c>
    </row>
    <row r="154" spans="3:4" customFormat="1" x14ac:dyDescent="0.25">
      <c r="C154" s="9"/>
      <c r="D154" s="5" t="str" cm="1">
        <f t="array" aca="1" ref="D154" ca="1">_xlfn.IFS(AND($C154&lt;TODAY(),$C154&lt;&gt;""),"VENCIDO",AND($C154&gt;TODAY(),$C154&lt;&gt;""),"A VENCER",$C154="","")</f>
        <v/>
      </c>
    </row>
    <row r="155" spans="3:4" customFormat="1" x14ac:dyDescent="0.25">
      <c r="C155" s="9"/>
      <c r="D155" s="5" t="str" cm="1">
        <f t="array" aca="1" ref="D155" ca="1">_xlfn.IFS(AND($C155&lt;TODAY(),$C155&lt;&gt;""),"VENCIDO",AND($C155&gt;TODAY(),$C155&lt;&gt;""),"A VENCER",$C155="","")</f>
        <v/>
      </c>
    </row>
    <row r="156" spans="3:4" customFormat="1" x14ac:dyDescent="0.25">
      <c r="C156" s="9"/>
      <c r="D156" s="5"/>
    </row>
    <row r="157" spans="3:4" customFormat="1" x14ac:dyDescent="0.25">
      <c r="C157" s="9"/>
      <c r="D157" s="5"/>
    </row>
    <row r="158" spans="3:4" customFormat="1" x14ac:dyDescent="0.25">
      <c r="C158" s="9"/>
      <c r="D158" s="5"/>
    </row>
    <row r="159" spans="3:4" customFormat="1" x14ac:dyDescent="0.25">
      <c r="C159" s="9"/>
      <c r="D159" s="5"/>
    </row>
    <row r="160" spans="3:4" customFormat="1" x14ac:dyDescent="0.25">
      <c r="C160" s="9"/>
      <c r="D160" s="5"/>
    </row>
    <row r="161" spans="3:4" customFormat="1" x14ac:dyDescent="0.25">
      <c r="C161" s="9"/>
      <c r="D161" s="5"/>
    </row>
    <row r="162" spans="3:4" customFormat="1" x14ac:dyDescent="0.25">
      <c r="C162" s="9"/>
      <c r="D162" s="5"/>
    </row>
    <row r="163" spans="3:4" customFormat="1" x14ac:dyDescent="0.25">
      <c r="C163" s="9"/>
      <c r="D163" s="5"/>
    </row>
    <row r="164" spans="3:4" customFormat="1" x14ac:dyDescent="0.25">
      <c r="C164" s="9"/>
      <c r="D164" s="5"/>
    </row>
    <row r="165" spans="3:4" customFormat="1" x14ac:dyDescent="0.25">
      <c r="C165" s="9"/>
      <c r="D165" s="5"/>
    </row>
    <row r="166" spans="3:4" customFormat="1" x14ac:dyDescent="0.25">
      <c r="C166" s="9"/>
      <c r="D166" s="5"/>
    </row>
    <row r="167" spans="3:4" customFormat="1" x14ac:dyDescent="0.25">
      <c r="C167" s="9"/>
      <c r="D167" s="5"/>
    </row>
    <row r="168" spans="3:4" customFormat="1" x14ac:dyDescent="0.25">
      <c r="C168" s="9"/>
      <c r="D168" s="5"/>
    </row>
    <row r="169" spans="3:4" customFormat="1" x14ac:dyDescent="0.25">
      <c r="C169" s="9"/>
      <c r="D169" s="5"/>
    </row>
    <row r="170" spans="3:4" customFormat="1" x14ac:dyDescent="0.25">
      <c r="C170" s="9"/>
      <c r="D170" s="5"/>
    </row>
    <row r="171" spans="3:4" customFormat="1" x14ac:dyDescent="0.25">
      <c r="C171" s="9"/>
      <c r="D171" s="5"/>
    </row>
    <row r="172" spans="3:4" customFormat="1" x14ac:dyDescent="0.25">
      <c r="C172" s="9"/>
      <c r="D172" s="5"/>
    </row>
    <row r="173" spans="3:4" customFormat="1" x14ac:dyDescent="0.25">
      <c r="C173" s="9"/>
      <c r="D173" s="5"/>
    </row>
    <row r="174" spans="3:4" customFormat="1" x14ac:dyDescent="0.25">
      <c r="C174" s="9"/>
      <c r="D174" s="5"/>
    </row>
    <row r="175" spans="3:4" customFormat="1" x14ac:dyDescent="0.25">
      <c r="C175" s="9"/>
      <c r="D175" s="5"/>
    </row>
    <row r="176" spans="3:4" customFormat="1" x14ac:dyDescent="0.25">
      <c r="D176" s="5"/>
    </row>
    <row r="177" spans="4:4" customFormat="1" x14ac:dyDescent="0.25">
      <c r="D177" s="5"/>
    </row>
    <row r="178" spans="4:4" customFormat="1" x14ac:dyDescent="0.25">
      <c r="D178" s="5"/>
    </row>
    <row r="179" spans="4:4" customFormat="1" x14ac:dyDescent="0.25">
      <c r="D179" s="5"/>
    </row>
    <row r="180" spans="4:4" customFormat="1" x14ac:dyDescent="0.25">
      <c r="D180" s="5"/>
    </row>
    <row r="181" spans="4:4" customFormat="1" x14ac:dyDescent="0.25">
      <c r="D181" s="5"/>
    </row>
    <row r="182" spans="4:4" customFormat="1" x14ac:dyDescent="0.25">
      <c r="D182" s="5"/>
    </row>
    <row r="183" spans="4:4" customFormat="1" x14ac:dyDescent="0.25"/>
    <row r="184" spans="4:4" customFormat="1" x14ac:dyDescent="0.25"/>
    <row r="185" spans="4:4" customFormat="1" x14ac:dyDescent="0.25"/>
    <row r="186" spans="4:4" customFormat="1" x14ac:dyDescent="0.25"/>
    <row r="187" spans="4:4" customFormat="1" x14ac:dyDescent="0.25"/>
    <row r="188" spans="4:4" customFormat="1" x14ac:dyDescent="0.25"/>
    <row r="189" spans="4:4" customFormat="1" x14ac:dyDescent="0.25"/>
    <row r="190" spans="4:4" customFormat="1" x14ac:dyDescent="0.25"/>
    <row r="191" spans="4:4" customFormat="1" x14ac:dyDescent="0.25"/>
    <row r="192" spans="4:4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spans="1:5" x14ac:dyDescent="0.25">
      <c r="A625"/>
      <c r="B625"/>
      <c r="C625"/>
      <c r="D625"/>
      <c r="E625"/>
    </row>
    <row r="626" spans="1:5" x14ac:dyDescent="0.25">
      <c r="A626"/>
      <c r="B626"/>
      <c r="C626"/>
      <c r="D626"/>
      <c r="E626"/>
    </row>
    <row r="627" spans="1:5" x14ac:dyDescent="0.25">
      <c r="A627"/>
      <c r="B627"/>
      <c r="C627"/>
      <c r="D627"/>
      <c r="E627"/>
    </row>
    <row r="628" spans="1:5" x14ac:dyDescent="0.25">
      <c r="A628"/>
      <c r="B628"/>
      <c r="C628"/>
      <c r="D628"/>
      <c r="E628"/>
    </row>
    <row r="629" spans="1:5" x14ac:dyDescent="0.25">
      <c r="A629"/>
      <c r="B629"/>
      <c r="C629"/>
      <c r="D629"/>
      <c r="E629"/>
    </row>
    <row r="630" spans="1:5" x14ac:dyDescent="0.25">
      <c r="A630"/>
      <c r="B630"/>
      <c r="C630"/>
      <c r="D630"/>
      <c r="E630"/>
    </row>
    <row r="631" spans="1:5" x14ac:dyDescent="0.25">
      <c r="A631"/>
      <c r="B631"/>
      <c r="C631"/>
      <c r="D631"/>
      <c r="E631"/>
    </row>
    <row r="632" spans="1:5" x14ac:dyDescent="0.25">
      <c r="A632"/>
      <c r="B632"/>
      <c r="C632"/>
      <c r="D632"/>
      <c r="E632"/>
    </row>
    <row r="633" spans="1:5" x14ac:dyDescent="0.25">
      <c r="A633"/>
      <c r="B633"/>
      <c r="C633"/>
      <c r="D633"/>
      <c r="E633"/>
    </row>
    <row r="634" spans="1:5" x14ac:dyDescent="0.25">
      <c r="A634"/>
      <c r="B634"/>
      <c r="C634"/>
      <c r="D634"/>
      <c r="E634"/>
    </row>
    <row r="635" spans="1:5" x14ac:dyDescent="0.25">
      <c r="A635"/>
      <c r="B635"/>
      <c r="C635"/>
      <c r="D635"/>
      <c r="E635"/>
    </row>
    <row r="636" spans="1:5" x14ac:dyDescent="0.25">
      <c r="A636"/>
      <c r="B636"/>
      <c r="C636"/>
      <c r="D636"/>
      <c r="E636"/>
    </row>
    <row r="637" spans="1:5" x14ac:dyDescent="0.25">
      <c r="A637"/>
      <c r="B637"/>
      <c r="C637"/>
      <c r="D637"/>
      <c r="E637"/>
    </row>
    <row r="638" spans="1:5" x14ac:dyDescent="0.25">
      <c r="C638" s="2"/>
      <c r="D638" s="2"/>
    </row>
    <row r="639" spans="1:5" x14ac:dyDescent="0.25">
      <c r="C639" s="2"/>
      <c r="D639" s="2"/>
    </row>
    <row r="640" spans="1:5" x14ac:dyDescent="0.25">
      <c r="C640" s="2"/>
      <c r="D640" s="2"/>
    </row>
    <row r="641" spans="3:4" x14ac:dyDescent="0.25">
      <c r="C641" s="2"/>
      <c r="D641" s="2"/>
    </row>
    <row r="642" spans="3:4" x14ac:dyDescent="0.25">
      <c r="C642" s="2"/>
      <c r="D642" s="2"/>
    </row>
    <row r="643" spans="3:4" x14ac:dyDescent="0.25">
      <c r="C643" s="2"/>
      <c r="D643" s="2"/>
    </row>
    <row r="644" spans="3:4" x14ac:dyDescent="0.25">
      <c r="C644" s="2"/>
      <c r="D644" s="2"/>
    </row>
    <row r="645" spans="3:4" x14ac:dyDescent="0.25">
      <c r="C645" s="2"/>
      <c r="D645" s="2"/>
    </row>
    <row r="646" spans="3:4" x14ac:dyDescent="0.25">
      <c r="C646" s="2"/>
      <c r="D646" s="2"/>
    </row>
    <row r="647" spans="3:4" x14ac:dyDescent="0.25">
      <c r="C647" s="2"/>
      <c r="D647" s="2"/>
    </row>
    <row r="648" spans="3:4" x14ac:dyDescent="0.25">
      <c r="C648" s="2"/>
      <c r="D648" s="2"/>
    </row>
    <row r="649" spans="3:4" x14ac:dyDescent="0.25">
      <c r="C649" s="2"/>
      <c r="D649" s="2"/>
    </row>
    <row r="650" spans="3:4" x14ac:dyDescent="0.25">
      <c r="C650" s="2"/>
      <c r="D650" s="2"/>
    </row>
    <row r="651" spans="3:4" x14ac:dyDescent="0.25">
      <c r="C651" s="2"/>
      <c r="D651" s="2"/>
    </row>
    <row r="652" spans="3:4" x14ac:dyDescent="0.25">
      <c r="C652" s="2"/>
      <c r="D652" s="2"/>
    </row>
    <row r="653" spans="3:4" x14ac:dyDescent="0.25">
      <c r="C653" s="2"/>
      <c r="D653" s="2"/>
    </row>
    <row r="654" spans="3:4" x14ac:dyDescent="0.25">
      <c r="C654" s="2"/>
      <c r="D654" s="2"/>
    </row>
    <row r="655" spans="3:4" x14ac:dyDescent="0.25">
      <c r="C655" s="2"/>
      <c r="D655" s="2"/>
    </row>
    <row r="656" spans="3:4" x14ac:dyDescent="0.25">
      <c r="C656" s="2"/>
      <c r="D656" s="2"/>
    </row>
    <row r="657" spans="3:4" x14ac:dyDescent="0.25">
      <c r="C657" s="2"/>
      <c r="D657" s="2"/>
    </row>
    <row r="658" spans="3:4" x14ac:dyDescent="0.25">
      <c r="C658" s="2"/>
      <c r="D658" s="2"/>
    </row>
    <row r="659" spans="3:4" x14ac:dyDescent="0.25">
      <c r="C659" s="2"/>
      <c r="D659" s="2"/>
    </row>
    <row r="660" spans="3:4" x14ac:dyDescent="0.25">
      <c r="C660" s="2"/>
      <c r="D660" s="2"/>
    </row>
    <row r="661" spans="3:4" x14ac:dyDescent="0.25">
      <c r="C661" s="2"/>
      <c r="D661" s="2"/>
    </row>
    <row r="662" spans="3:4" x14ac:dyDescent="0.25">
      <c r="C662" s="2"/>
      <c r="D662" s="2"/>
    </row>
    <row r="663" spans="3:4" x14ac:dyDescent="0.25">
      <c r="C663" s="2"/>
      <c r="D663" s="2"/>
    </row>
    <row r="664" spans="3:4" x14ac:dyDescent="0.25">
      <c r="C664" s="2"/>
      <c r="D664" s="2"/>
    </row>
    <row r="665" spans="3:4" x14ac:dyDescent="0.25">
      <c r="C665" s="2"/>
      <c r="D665" s="2"/>
    </row>
    <row r="666" spans="3:4" x14ac:dyDescent="0.25">
      <c r="C666" s="2"/>
      <c r="D666" s="2"/>
    </row>
    <row r="667" spans="3:4" x14ac:dyDescent="0.25">
      <c r="C667" s="2"/>
      <c r="D667" s="2"/>
    </row>
    <row r="668" spans="3:4" x14ac:dyDescent="0.25">
      <c r="C668" s="2"/>
      <c r="D668" s="2"/>
    </row>
    <row r="669" spans="3:4" x14ac:dyDescent="0.25">
      <c r="C669" s="2"/>
      <c r="D669" s="2"/>
    </row>
    <row r="670" spans="3:4" x14ac:dyDescent="0.25">
      <c r="C670" s="2"/>
      <c r="D670" s="2"/>
    </row>
    <row r="671" spans="3:4" x14ac:dyDescent="0.25">
      <c r="C671" s="2"/>
      <c r="D671" s="2"/>
    </row>
    <row r="672" spans="3:4" x14ac:dyDescent="0.25">
      <c r="C672" s="2"/>
      <c r="D672" s="2"/>
    </row>
    <row r="673" spans="3:4" x14ac:dyDescent="0.25">
      <c r="C673" s="2"/>
      <c r="D673" s="2"/>
    </row>
    <row r="674" spans="3:4" x14ac:dyDescent="0.25">
      <c r="C674" s="2"/>
      <c r="D674" s="2"/>
    </row>
    <row r="675" spans="3:4" x14ac:dyDescent="0.25">
      <c r="C675" s="2"/>
      <c r="D675" s="2"/>
    </row>
    <row r="676" spans="3:4" x14ac:dyDescent="0.25">
      <c r="C676" s="2"/>
      <c r="D676" s="2"/>
    </row>
    <row r="677" spans="3:4" x14ac:dyDescent="0.25">
      <c r="C677" s="2"/>
      <c r="D677" s="2"/>
    </row>
    <row r="678" spans="3:4" x14ac:dyDescent="0.25">
      <c r="C678" s="2"/>
      <c r="D678" s="2"/>
    </row>
    <row r="679" spans="3:4" x14ac:dyDescent="0.25">
      <c r="C679" s="2"/>
      <c r="D679" s="2"/>
    </row>
    <row r="680" spans="3:4" x14ac:dyDescent="0.25">
      <c r="C680" s="2"/>
      <c r="D680" s="2"/>
    </row>
    <row r="681" spans="3:4" x14ac:dyDescent="0.25">
      <c r="C681" s="2"/>
      <c r="D681" s="2"/>
    </row>
    <row r="682" spans="3:4" x14ac:dyDescent="0.25">
      <c r="C682" s="2"/>
      <c r="D682" s="2"/>
    </row>
    <row r="683" spans="3:4" x14ac:dyDescent="0.25">
      <c r="C683" s="2"/>
      <c r="D683" s="2"/>
    </row>
    <row r="684" spans="3:4" x14ac:dyDescent="0.25">
      <c r="C684" s="2"/>
      <c r="D684" s="2"/>
    </row>
    <row r="685" spans="3:4" x14ac:dyDescent="0.25">
      <c r="C685" s="2"/>
      <c r="D685" s="2"/>
    </row>
    <row r="686" spans="3:4" x14ac:dyDescent="0.25">
      <c r="C686" s="2"/>
      <c r="D686" s="2"/>
    </row>
    <row r="687" spans="3:4" x14ac:dyDescent="0.25">
      <c r="C687" s="2"/>
      <c r="D687" s="2"/>
    </row>
    <row r="688" spans="3:4" x14ac:dyDescent="0.25">
      <c r="C688" s="2"/>
      <c r="D688" s="2"/>
    </row>
    <row r="689" spans="3:4" x14ac:dyDescent="0.25">
      <c r="C689" s="2"/>
      <c r="D689" s="2"/>
    </row>
    <row r="690" spans="3:4" x14ac:dyDescent="0.25">
      <c r="C690" s="2"/>
      <c r="D690" s="2"/>
    </row>
    <row r="691" spans="3:4" x14ac:dyDescent="0.25">
      <c r="C691" s="2"/>
      <c r="D691" s="2"/>
    </row>
    <row r="692" spans="3:4" x14ac:dyDescent="0.25">
      <c r="C692" s="2"/>
      <c r="D692" s="2"/>
    </row>
    <row r="693" spans="3:4" x14ac:dyDescent="0.25">
      <c r="C693" s="2"/>
      <c r="D693" s="2"/>
    </row>
    <row r="694" spans="3:4" x14ac:dyDescent="0.25">
      <c r="C694" s="2"/>
      <c r="D694" s="2"/>
    </row>
    <row r="695" spans="3:4" x14ac:dyDescent="0.25">
      <c r="C695" s="2"/>
      <c r="D695" s="2"/>
    </row>
    <row r="696" spans="3:4" x14ac:dyDescent="0.25">
      <c r="C696" s="2"/>
      <c r="D696" s="2"/>
    </row>
    <row r="697" spans="3:4" x14ac:dyDescent="0.25">
      <c r="C697" s="2"/>
      <c r="D697" s="2"/>
    </row>
    <row r="698" spans="3:4" x14ac:dyDescent="0.25">
      <c r="C698" s="2"/>
      <c r="D698" s="2"/>
    </row>
    <row r="699" spans="3:4" x14ac:dyDescent="0.25">
      <c r="C699" s="2"/>
      <c r="D699" s="2"/>
    </row>
    <row r="700" spans="3:4" x14ac:dyDescent="0.25">
      <c r="C700" s="2"/>
      <c r="D700" s="2"/>
    </row>
    <row r="701" spans="3:4" x14ac:dyDescent="0.25">
      <c r="C701" s="2"/>
      <c r="D701" s="2"/>
    </row>
    <row r="702" spans="3:4" x14ac:dyDescent="0.25">
      <c r="C702" s="2"/>
      <c r="D702" s="2"/>
    </row>
    <row r="703" spans="3:4" x14ac:dyDescent="0.25">
      <c r="C703" s="2"/>
      <c r="D703" s="2"/>
    </row>
    <row r="704" spans="3:4" x14ac:dyDescent="0.25">
      <c r="C704" s="2"/>
      <c r="D704" s="2"/>
    </row>
    <row r="705" spans="3:4" x14ac:dyDescent="0.25">
      <c r="C705" s="2"/>
      <c r="D705" s="2"/>
    </row>
    <row r="706" spans="3:4" x14ac:dyDescent="0.25">
      <c r="C706" s="2"/>
      <c r="D706" s="2"/>
    </row>
    <row r="707" spans="3:4" x14ac:dyDescent="0.25">
      <c r="C707" s="2"/>
      <c r="D707" s="2"/>
    </row>
    <row r="708" spans="3:4" x14ac:dyDescent="0.25">
      <c r="C708" s="2"/>
      <c r="D708" s="2"/>
    </row>
    <row r="709" spans="3:4" x14ac:dyDescent="0.25">
      <c r="C709" s="2"/>
      <c r="D709" s="2"/>
    </row>
    <row r="710" spans="3:4" x14ac:dyDescent="0.25">
      <c r="C710" s="2"/>
      <c r="D710" s="2"/>
    </row>
    <row r="711" spans="3:4" x14ac:dyDescent="0.25">
      <c r="C711" s="2"/>
      <c r="D711" s="2"/>
    </row>
    <row r="712" spans="3:4" x14ac:dyDescent="0.25">
      <c r="C712" s="2"/>
      <c r="D712" s="2"/>
    </row>
    <row r="713" spans="3:4" x14ac:dyDescent="0.25">
      <c r="C713" s="2"/>
      <c r="D713" s="2"/>
    </row>
    <row r="714" spans="3:4" x14ac:dyDescent="0.25">
      <c r="C714" s="2"/>
      <c r="D714" s="2"/>
    </row>
    <row r="715" spans="3:4" x14ac:dyDescent="0.25">
      <c r="C715" s="2"/>
      <c r="D715" s="2"/>
    </row>
    <row r="716" spans="3:4" x14ac:dyDescent="0.25">
      <c r="C716" s="2"/>
      <c r="D716" s="2"/>
    </row>
    <row r="717" spans="3:4" x14ac:dyDescent="0.25">
      <c r="C717" s="2"/>
      <c r="D717" s="2"/>
    </row>
    <row r="718" spans="3:4" x14ac:dyDescent="0.25">
      <c r="C718" s="2"/>
      <c r="D718" s="2"/>
    </row>
    <row r="719" spans="3:4" x14ac:dyDescent="0.25">
      <c r="C719" s="2"/>
      <c r="D719" s="2"/>
    </row>
    <row r="720" spans="3:4" x14ac:dyDescent="0.25">
      <c r="C720" s="2"/>
      <c r="D720" s="2"/>
    </row>
    <row r="721" spans="3:4" x14ac:dyDescent="0.25">
      <c r="C721" s="2"/>
      <c r="D721" s="2"/>
    </row>
    <row r="722" spans="3:4" x14ac:dyDescent="0.25">
      <c r="C722" s="2"/>
      <c r="D722" s="2"/>
    </row>
    <row r="723" spans="3:4" x14ac:dyDescent="0.25">
      <c r="C723" s="2"/>
      <c r="D723" s="2"/>
    </row>
    <row r="724" spans="3:4" x14ac:dyDescent="0.25">
      <c r="C724" s="2"/>
      <c r="D724" s="2"/>
    </row>
    <row r="725" spans="3:4" x14ac:dyDescent="0.25">
      <c r="C725" s="2"/>
      <c r="D725" s="2"/>
    </row>
    <row r="726" spans="3:4" x14ac:dyDescent="0.25">
      <c r="C726" s="2"/>
      <c r="D726" s="2"/>
    </row>
    <row r="727" spans="3:4" x14ac:dyDescent="0.25">
      <c r="C727" s="2"/>
      <c r="D727" s="2"/>
    </row>
    <row r="728" spans="3:4" x14ac:dyDescent="0.25">
      <c r="C728" s="2"/>
      <c r="D728" s="2"/>
    </row>
    <row r="729" spans="3:4" x14ac:dyDescent="0.25">
      <c r="C729" s="2"/>
      <c r="D729" s="2"/>
    </row>
    <row r="730" spans="3:4" x14ac:dyDescent="0.25">
      <c r="C730" s="2"/>
      <c r="D730" s="2"/>
    </row>
    <row r="731" spans="3:4" x14ac:dyDescent="0.25">
      <c r="C731" s="2"/>
      <c r="D731" s="2"/>
    </row>
    <row r="732" spans="3:4" x14ac:dyDescent="0.25">
      <c r="C732" s="2"/>
      <c r="D732" s="2"/>
    </row>
    <row r="733" spans="3:4" x14ac:dyDescent="0.25">
      <c r="C733" s="2"/>
      <c r="D733" s="2"/>
    </row>
    <row r="734" spans="3:4" x14ac:dyDescent="0.25">
      <c r="C734" s="2"/>
      <c r="D734" s="2"/>
    </row>
    <row r="735" spans="3:4" x14ac:dyDescent="0.25">
      <c r="C735" s="2"/>
      <c r="D735" s="2"/>
    </row>
    <row r="736" spans="3:4" x14ac:dyDescent="0.25">
      <c r="C736" s="2"/>
      <c r="D736" s="2"/>
    </row>
    <row r="737" spans="3:4" x14ac:dyDescent="0.25">
      <c r="C737" s="2"/>
      <c r="D737" s="2"/>
    </row>
    <row r="738" spans="3:4" x14ac:dyDescent="0.25">
      <c r="C738" s="2"/>
      <c r="D738" s="2"/>
    </row>
    <row r="739" spans="3:4" x14ac:dyDescent="0.25">
      <c r="C739" s="2"/>
      <c r="D739" s="2"/>
    </row>
    <row r="740" spans="3:4" x14ac:dyDescent="0.25">
      <c r="C740" s="2"/>
      <c r="D740" s="2"/>
    </row>
    <row r="741" spans="3:4" x14ac:dyDescent="0.25">
      <c r="C741" s="2"/>
      <c r="D741" s="2"/>
    </row>
    <row r="742" spans="3:4" x14ac:dyDescent="0.25">
      <c r="C742" s="2"/>
      <c r="D742" s="2"/>
    </row>
    <row r="743" spans="3:4" x14ac:dyDescent="0.25">
      <c r="C743" s="2"/>
      <c r="D743" s="2"/>
    </row>
    <row r="744" spans="3:4" x14ac:dyDescent="0.25">
      <c r="C744" s="2"/>
      <c r="D744" s="2"/>
    </row>
    <row r="745" spans="3:4" x14ac:dyDescent="0.25">
      <c r="C745" s="2"/>
      <c r="D745" s="2"/>
    </row>
    <row r="746" spans="3:4" x14ac:dyDescent="0.25">
      <c r="C746" s="2"/>
      <c r="D746" s="2"/>
    </row>
    <row r="747" spans="3:4" x14ac:dyDescent="0.25">
      <c r="C747" s="2"/>
      <c r="D747" s="2"/>
    </row>
    <row r="748" spans="3:4" x14ac:dyDescent="0.25">
      <c r="C748" s="2"/>
      <c r="D748" s="2"/>
    </row>
    <row r="749" spans="3:4" x14ac:dyDescent="0.25">
      <c r="C749" s="2"/>
      <c r="D749" s="2"/>
    </row>
    <row r="750" spans="3:4" x14ac:dyDescent="0.25">
      <c r="C750" s="2"/>
      <c r="D750" s="2"/>
    </row>
    <row r="751" spans="3:4" x14ac:dyDescent="0.25">
      <c r="C751" s="2"/>
      <c r="D751" s="2"/>
    </row>
    <row r="752" spans="3:4" x14ac:dyDescent="0.25">
      <c r="C752" s="2"/>
      <c r="D752" s="2"/>
    </row>
    <row r="753" spans="3:4" x14ac:dyDescent="0.25">
      <c r="C753" s="2"/>
      <c r="D753" s="2"/>
    </row>
    <row r="754" spans="3:4" x14ac:dyDescent="0.25">
      <c r="C754" s="2"/>
      <c r="D754" s="2"/>
    </row>
    <row r="755" spans="3:4" x14ac:dyDescent="0.25">
      <c r="C755" s="2"/>
      <c r="D755" s="2"/>
    </row>
    <row r="756" spans="3:4" x14ac:dyDescent="0.25">
      <c r="C756" s="2"/>
      <c r="D756" s="2"/>
    </row>
    <row r="757" spans="3:4" x14ac:dyDescent="0.25">
      <c r="C757" s="2"/>
      <c r="D757" s="2"/>
    </row>
    <row r="758" spans="3:4" x14ac:dyDescent="0.25">
      <c r="C758" s="2"/>
      <c r="D758" s="2"/>
    </row>
    <row r="759" spans="3:4" x14ac:dyDescent="0.25">
      <c r="C759" s="2"/>
      <c r="D759" s="2"/>
    </row>
    <row r="760" spans="3:4" x14ac:dyDescent="0.25">
      <c r="C760" s="2"/>
      <c r="D760" s="2"/>
    </row>
    <row r="761" spans="3:4" x14ac:dyDescent="0.25">
      <c r="C761" s="2"/>
      <c r="D761" s="2"/>
    </row>
    <row r="762" spans="3:4" x14ac:dyDescent="0.25">
      <c r="C762" s="2"/>
      <c r="D762" s="2"/>
    </row>
    <row r="763" spans="3:4" x14ac:dyDescent="0.25">
      <c r="C763" s="2"/>
      <c r="D763" s="2"/>
    </row>
    <row r="764" spans="3:4" x14ac:dyDescent="0.25">
      <c r="C764" s="2"/>
      <c r="D764" s="2"/>
    </row>
    <row r="765" spans="3:4" x14ac:dyDescent="0.25">
      <c r="C765" s="2"/>
      <c r="D765" s="2"/>
    </row>
    <row r="766" spans="3:4" x14ac:dyDescent="0.25">
      <c r="C766" s="2"/>
      <c r="D766" s="2"/>
    </row>
    <row r="767" spans="3:4" x14ac:dyDescent="0.25">
      <c r="C767" s="2"/>
      <c r="D767" s="2"/>
    </row>
    <row r="768" spans="3:4" x14ac:dyDescent="0.25">
      <c r="C768" s="2"/>
      <c r="D768" s="2"/>
    </row>
    <row r="769" spans="3:4" x14ac:dyDescent="0.25">
      <c r="C769" s="2"/>
      <c r="D769" s="2"/>
    </row>
    <row r="770" spans="3:4" x14ac:dyDescent="0.25">
      <c r="C770" s="2"/>
      <c r="D770" s="2"/>
    </row>
    <row r="771" spans="3:4" x14ac:dyDescent="0.25">
      <c r="C771" s="2"/>
      <c r="D771" s="2"/>
    </row>
    <row r="772" spans="3:4" x14ac:dyDescent="0.25">
      <c r="C772" s="2"/>
      <c r="D772" s="2"/>
    </row>
    <row r="773" spans="3:4" x14ac:dyDescent="0.25">
      <c r="C773" s="2"/>
      <c r="D773" s="2"/>
    </row>
    <row r="774" spans="3:4" x14ac:dyDescent="0.25">
      <c r="C774" s="2"/>
      <c r="D774" s="2"/>
    </row>
    <row r="775" spans="3:4" x14ac:dyDescent="0.25">
      <c r="C775" s="2"/>
      <c r="D775" s="2"/>
    </row>
    <row r="776" spans="3:4" x14ac:dyDescent="0.25">
      <c r="C776" s="2"/>
      <c r="D776" s="2"/>
    </row>
    <row r="777" spans="3:4" x14ac:dyDescent="0.25">
      <c r="C777" s="2"/>
      <c r="D777" s="2"/>
    </row>
    <row r="778" spans="3:4" x14ac:dyDescent="0.25">
      <c r="C778" s="2"/>
      <c r="D778" s="2"/>
    </row>
    <row r="779" spans="3:4" x14ac:dyDescent="0.25">
      <c r="C779" s="2"/>
      <c r="D779" s="2"/>
    </row>
    <row r="780" spans="3:4" x14ac:dyDescent="0.25">
      <c r="C780" s="2"/>
      <c r="D780" s="2"/>
    </row>
    <row r="781" spans="3:4" x14ac:dyDescent="0.25">
      <c r="C781" s="2"/>
      <c r="D781" s="2"/>
    </row>
    <row r="782" spans="3:4" x14ac:dyDescent="0.25">
      <c r="C782" s="2"/>
      <c r="D782" s="2"/>
    </row>
    <row r="783" spans="3:4" x14ac:dyDescent="0.25">
      <c r="C783" s="2"/>
      <c r="D783" s="2"/>
    </row>
    <row r="784" spans="3:4" x14ac:dyDescent="0.25">
      <c r="C784" s="2"/>
      <c r="D784" s="2"/>
    </row>
    <row r="785" spans="3:4" x14ac:dyDescent="0.25">
      <c r="C785" s="2"/>
      <c r="D785" s="2"/>
    </row>
    <row r="786" spans="3:4" x14ac:dyDescent="0.25">
      <c r="C786" s="2"/>
      <c r="D786" s="2"/>
    </row>
    <row r="787" spans="3:4" x14ac:dyDescent="0.25">
      <c r="C787" s="2"/>
      <c r="D787" s="2"/>
    </row>
    <row r="788" spans="3:4" x14ac:dyDescent="0.25">
      <c r="C788" s="2"/>
      <c r="D788" s="2"/>
    </row>
    <row r="789" spans="3:4" x14ac:dyDescent="0.25">
      <c r="C789" s="2"/>
      <c r="D789" s="2"/>
    </row>
    <row r="790" spans="3:4" x14ac:dyDescent="0.25">
      <c r="C790" s="2"/>
      <c r="D790" s="2"/>
    </row>
    <row r="791" spans="3:4" x14ac:dyDescent="0.25">
      <c r="C791" s="2"/>
      <c r="D791" s="2"/>
    </row>
    <row r="792" spans="3:4" x14ac:dyDescent="0.25">
      <c r="C792" s="2"/>
      <c r="D792" s="2"/>
    </row>
    <row r="793" spans="3:4" x14ac:dyDescent="0.25">
      <c r="C793" s="2"/>
      <c r="D793" s="2"/>
    </row>
    <row r="794" spans="3:4" x14ac:dyDescent="0.25">
      <c r="C794" s="2"/>
      <c r="D794" s="2"/>
    </row>
    <row r="795" spans="3:4" x14ac:dyDescent="0.25">
      <c r="C795" s="2"/>
      <c r="D795" s="2"/>
    </row>
    <row r="796" spans="3:4" x14ac:dyDescent="0.25">
      <c r="C796" s="2"/>
      <c r="D796" s="2"/>
    </row>
    <row r="797" spans="3:4" x14ac:dyDescent="0.25">
      <c r="C797" s="2"/>
      <c r="D797" s="2"/>
    </row>
    <row r="798" spans="3:4" x14ac:dyDescent="0.25">
      <c r="C798" s="2"/>
      <c r="D798" s="2"/>
    </row>
    <row r="799" spans="3:4" x14ac:dyDescent="0.25">
      <c r="C799" s="2"/>
      <c r="D799" s="2"/>
    </row>
    <row r="800" spans="3:4" x14ac:dyDescent="0.25">
      <c r="C800" s="2"/>
      <c r="D800" s="2"/>
    </row>
    <row r="801" spans="3:4" x14ac:dyDescent="0.25">
      <c r="C801" s="2"/>
      <c r="D801" s="2"/>
    </row>
    <row r="802" spans="3:4" x14ac:dyDescent="0.25">
      <c r="C802" s="2"/>
      <c r="D802" s="2"/>
    </row>
    <row r="803" spans="3:4" x14ac:dyDescent="0.25">
      <c r="C803" s="2"/>
      <c r="D803" s="2"/>
    </row>
    <row r="804" spans="3:4" x14ac:dyDescent="0.25">
      <c r="C804" s="2"/>
      <c r="D804" s="2"/>
    </row>
    <row r="805" spans="3:4" x14ac:dyDescent="0.25">
      <c r="C805" s="2"/>
      <c r="D805" s="2"/>
    </row>
    <row r="806" spans="3:4" x14ac:dyDescent="0.25">
      <c r="C806" s="2"/>
      <c r="D806" s="2"/>
    </row>
    <row r="807" spans="3:4" x14ac:dyDescent="0.25">
      <c r="C807" s="2"/>
      <c r="D807" s="2"/>
    </row>
    <row r="808" spans="3:4" x14ac:dyDescent="0.25">
      <c r="C808" s="2"/>
      <c r="D808" s="2"/>
    </row>
    <row r="809" spans="3:4" x14ac:dyDescent="0.25">
      <c r="C809" s="2"/>
      <c r="D809" s="2"/>
    </row>
    <row r="810" spans="3:4" x14ac:dyDescent="0.25">
      <c r="C810" s="2"/>
      <c r="D810" s="2"/>
    </row>
    <row r="811" spans="3:4" x14ac:dyDescent="0.25">
      <c r="C811" s="2"/>
      <c r="D811" s="2"/>
    </row>
    <row r="812" spans="3:4" x14ac:dyDescent="0.25">
      <c r="C812" s="2"/>
      <c r="D812" s="2"/>
    </row>
    <row r="813" spans="3:4" x14ac:dyDescent="0.25">
      <c r="C813" s="2"/>
      <c r="D813" s="2"/>
    </row>
    <row r="814" spans="3:4" x14ac:dyDescent="0.25">
      <c r="C814" s="2"/>
      <c r="D814" s="2"/>
    </row>
    <row r="815" spans="3:4" x14ac:dyDescent="0.25">
      <c r="C815" s="2"/>
      <c r="D815" s="2"/>
    </row>
    <row r="816" spans="3:4" x14ac:dyDescent="0.25">
      <c r="C816" s="2"/>
      <c r="D816" s="2"/>
    </row>
    <row r="817" spans="3:4" x14ac:dyDescent="0.25">
      <c r="C817" s="2"/>
      <c r="D817" s="2"/>
    </row>
    <row r="818" spans="3:4" x14ac:dyDescent="0.25">
      <c r="C818" s="2"/>
      <c r="D818" s="2"/>
    </row>
    <row r="819" spans="3:4" x14ac:dyDescent="0.25">
      <c r="C819" s="2"/>
      <c r="D819" s="2"/>
    </row>
    <row r="820" spans="3:4" x14ac:dyDescent="0.25">
      <c r="C820" s="2"/>
      <c r="D820" s="2"/>
    </row>
    <row r="821" spans="3:4" x14ac:dyDescent="0.25">
      <c r="C821" s="2"/>
      <c r="D821" s="2"/>
    </row>
    <row r="822" spans="3:4" x14ac:dyDescent="0.25">
      <c r="C822" s="2"/>
      <c r="D822" s="2"/>
    </row>
    <row r="823" spans="3:4" x14ac:dyDescent="0.25">
      <c r="C823" s="2"/>
      <c r="D823" s="2"/>
    </row>
    <row r="824" spans="3:4" x14ac:dyDescent="0.25">
      <c r="C824" s="2"/>
      <c r="D824" s="2"/>
    </row>
    <row r="825" spans="3:4" x14ac:dyDescent="0.25">
      <c r="C825" s="2"/>
      <c r="D825" s="2"/>
    </row>
    <row r="826" spans="3:4" x14ac:dyDescent="0.25">
      <c r="C826" s="2"/>
      <c r="D826" s="2"/>
    </row>
    <row r="827" spans="3:4" x14ac:dyDescent="0.25">
      <c r="C827" s="2"/>
      <c r="D827" s="2"/>
    </row>
    <row r="828" spans="3:4" x14ac:dyDescent="0.25">
      <c r="C828" s="2"/>
      <c r="D828" s="2"/>
    </row>
    <row r="829" spans="3:4" x14ac:dyDescent="0.25">
      <c r="C829" s="2"/>
      <c r="D829" s="2"/>
    </row>
    <row r="830" spans="3:4" x14ac:dyDescent="0.25">
      <c r="C830" s="2"/>
      <c r="D830" s="2"/>
    </row>
    <row r="831" spans="3:4" x14ac:dyDescent="0.25">
      <c r="C831" s="2"/>
      <c r="D831" s="2"/>
    </row>
    <row r="832" spans="3:4" x14ac:dyDescent="0.25">
      <c r="C832" s="2"/>
      <c r="D832" s="2"/>
    </row>
    <row r="833" spans="3:4" x14ac:dyDescent="0.25">
      <c r="C833" s="2"/>
      <c r="D833" s="2"/>
    </row>
    <row r="834" spans="3:4" x14ac:dyDescent="0.25">
      <c r="C834" s="2"/>
      <c r="D834" s="2"/>
    </row>
    <row r="835" spans="3:4" x14ac:dyDescent="0.25">
      <c r="C835" s="2"/>
      <c r="D835" s="2"/>
    </row>
    <row r="836" spans="3:4" x14ac:dyDescent="0.25">
      <c r="C836" s="2"/>
      <c r="D836" s="2"/>
    </row>
    <row r="837" spans="3:4" x14ac:dyDescent="0.25">
      <c r="C837" s="2"/>
      <c r="D837" s="2"/>
    </row>
    <row r="838" spans="3:4" x14ac:dyDescent="0.25">
      <c r="C838" s="2"/>
      <c r="D838" s="2"/>
    </row>
    <row r="839" spans="3:4" x14ac:dyDescent="0.25">
      <c r="C839" s="2"/>
      <c r="D839" s="2"/>
    </row>
    <row r="840" spans="3:4" x14ac:dyDescent="0.25">
      <c r="C840" s="2"/>
      <c r="D840" s="2"/>
    </row>
    <row r="841" spans="3:4" x14ac:dyDescent="0.25">
      <c r="C841" s="2"/>
      <c r="D841" s="2"/>
    </row>
    <row r="842" spans="3:4" x14ac:dyDescent="0.25">
      <c r="C842" s="2"/>
      <c r="D842" s="2"/>
    </row>
    <row r="843" spans="3:4" x14ac:dyDescent="0.25">
      <c r="C843" s="2"/>
      <c r="D843" s="2"/>
    </row>
    <row r="844" spans="3:4" x14ac:dyDescent="0.25">
      <c r="C844" s="2"/>
      <c r="D844" s="2"/>
    </row>
    <row r="845" spans="3:4" x14ac:dyDescent="0.25">
      <c r="C845" s="2"/>
      <c r="D845" s="2"/>
    </row>
    <row r="846" spans="3:4" x14ac:dyDescent="0.25">
      <c r="C846" s="2"/>
      <c r="D846" s="2"/>
    </row>
    <row r="847" spans="3:4" x14ac:dyDescent="0.25">
      <c r="C847" s="2"/>
      <c r="D847" s="2"/>
    </row>
    <row r="848" spans="3:4" x14ac:dyDescent="0.25">
      <c r="C848" s="2"/>
      <c r="D848" s="2"/>
    </row>
    <row r="849" spans="3:4" x14ac:dyDescent="0.25">
      <c r="C849" s="2"/>
      <c r="D849" s="2"/>
    </row>
    <row r="850" spans="3:4" x14ac:dyDescent="0.25">
      <c r="C850" s="2"/>
      <c r="D850" s="2"/>
    </row>
    <row r="851" spans="3:4" x14ac:dyDescent="0.25">
      <c r="C851" s="2"/>
      <c r="D851" s="2"/>
    </row>
    <row r="852" spans="3:4" x14ac:dyDescent="0.25">
      <c r="C852" s="2"/>
      <c r="D852" s="2"/>
    </row>
    <row r="853" spans="3:4" x14ac:dyDescent="0.25">
      <c r="C853" s="2"/>
      <c r="D853" s="2"/>
    </row>
    <row r="854" spans="3:4" x14ac:dyDescent="0.25">
      <c r="C854" s="2"/>
      <c r="D854" s="2"/>
    </row>
    <row r="855" spans="3:4" x14ac:dyDescent="0.25">
      <c r="C855" s="2"/>
      <c r="D855" s="2"/>
    </row>
    <row r="856" spans="3:4" x14ac:dyDescent="0.25">
      <c r="C856" s="2"/>
      <c r="D856" s="2"/>
    </row>
    <row r="857" spans="3:4" x14ac:dyDescent="0.25">
      <c r="C857" s="2"/>
      <c r="D857" s="2"/>
    </row>
    <row r="858" spans="3:4" x14ac:dyDescent="0.25">
      <c r="C858" s="2"/>
      <c r="D858" s="2"/>
    </row>
    <row r="859" spans="3:4" x14ac:dyDescent="0.25">
      <c r="C859" s="2"/>
      <c r="D859" s="2"/>
    </row>
    <row r="860" spans="3:4" x14ac:dyDescent="0.25">
      <c r="C860" s="2"/>
      <c r="D860" s="2"/>
    </row>
    <row r="861" spans="3:4" x14ac:dyDescent="0.25">
      <c r="C861" s="2"/>
      <c r="D861" s="2"/>
    </row>
    <row r="862" spans="3:4" x14ac:dyDescent="0.25">
      <c r="C862" s="2"/>
      <c r="D862" s="2"/>
    </row>
    <row r="863" spans="3:4" x14ac:dyDescent="0.25">
      <c r="C863" s="2"/>
      <c r="D863" s="2"/>
    </row>
    <row r="864" spans="3:4" x14ac:dyDescent="0.25">
      <c r="C864" s="2"/>
      <c r="D864" s="2"/>
    </row>
    <row r="865" spans="3:4" x14ac:dyDescent="0.25">
      <c r="C865" s="2"/>
      <c r="D865" s="2"/>
    </row>
    <row r="866" spans="3:4" x14ac:dyDescent="0.25">
      <c r="C866" s="2"/>
      <c r="D866" s="2"/>
    </row>
    <row r="867" spans="3:4" x14ac:dyDescent="0.25">
      <c r="C867" s="2"/>
      <c r="D867" s="2"/>
    </row>
    <row r="868" spans="3:4" x14ac:dyDescent="0.25">
      <c r="C868" s="2"/>
      <c r="D868" s="2"/>
    </row>
    <row r="869" spans="3:4" x14ac:dyDescent="0.25">
      <c r="C869" s="2"/>
      <c r="D869" s="2"/>
    </row>
    <row r="870" spans="3:4" x14ac:dyDescent="0.25">
      <c r="C870" s="2"/>
      <c r="D870" s="2"/>
    </row>
    <row r="871" spans="3:4" x14ac:dyDescent="0.25">
      <c r="C871" s="2"/>
      <c r="D871" s="2"/>
    </row>
    <row r="872" spans="3:4" x14ac:dyDescent="0.25">
      <c r="C872" s="2"/>
      <c r="D872" s="2"/>
    </row>
    <row r="873" spans="3:4" x14ac:dyDescent="0.25">
      <c r="C873" s="2"/>
      <c r="D873" s="2"/>
    </row>
    <row r="874" spans="3:4" x14ac:dyDescent="0.25">
      <c r="C874" s="2"/>
      <c r="D874" s="2"/>
    </row>
    <row r="875" spans="3:4" x14ac:dyDescent="0.25">
      <c r="C875" s="2"/>
      <c r="D875" s="2"/>
    </row>
    <row r="876" spans="3:4" x14ac:dyDescent="0.25">
      <c r="C876" s="2"/>
      <c r="D876" s="2"/>
    </row>
    <row r="877" spans="3:4" x14ac:dyDescent="0.25">
      <c r="C877" s="2"/>
      <c r="D877" s="2"/>
    </row>
    <row r="878" spans="3:4" x14ac:dyDescent="0.25">
      <c r="C878" s="2"/>
      <c r="D878" s="2"/>
    </row>
    <row r="879" spans="3:4" x14ac:dyDescent="0.25">
      <c r="C879" s="2"/>
      <c r="D879" s="2"/>
    </row>
    <row r="880" spans="3:4" x14ac:dyDescent="0.25">
      <c r="C880" s="2"/>
      <c r="D880" s="2"/>
    </row>
    <row r="881" spans="3:4" x14ac:dyDescent="0.25">
      <c r="C881" s="2"/>
      <c r="D881" s="2"/>
    </row>
    <row r="882" spans="3:4" x14ac:dyDescent="0.25">
      <c r="C882" s="2"/>
      <c r="D882" s="2"/>
    </row>
    <row r="883" spans="3:4" x14ac:dyDescent="0.25">
      <c r="C883" s="2"/>
      <c r="D883" s="2"/>
    </row>
    <row r="884" spans="3:4" x14ac:dyDescent="0.25">
      <c r="C884" s="2"/>
      <c r="D884" s="2"/>
    </row>
    <row r="885" spans="3:4" x14ac:dyDescent="0.25">
      <c r="C885" s="2"/>
      <c r="D885" s="2"/>
    </row>
    <row r="886" spans="3:4" x14ac:dyDescent="0.25">
      <c r="C886" s="2"/>
      <c r="D886" s="2"/>
    </row>
    <row r="887" spans="3:4" x14ac:dyDescent="0.25">
      <c r="C887" s="2"/>
      <c r="D887" s="2"/>
    </row>
    <row r="888" spans="3:4" x14ac:dyDescent="0.25">
      <c r="C888" s="2"/>
      <c r="D888" s="2"/>
    </row>
    <row r="889" spans="3:4" x14ac:dyDescent="0.25">
      <c r="C889" s="2"/>
      <c r="D889" s="2"/>
    </row>
    <row r="890" spans="3:4" x14ac:dyDescent="0.25">
      <c r="C890" s="2"/>
      <c r="D890" s="2"/>
    </row>
    <row r="891" spans="3:4" x14ac:dyDescent="0.25">
      <c r="C891" s="2"/>
      <c r="D891" s="2"/>
    </row>
    <row r="892" spans="3:4" x14ac:dyDescent="0.25">
      <c r="C892" s="2"/>
      <c r="D892" s="2"/>
    </row>
    <row r="893" spans="3:4" x14ac:dyDescent="0.25">
      <c r="C893" s="2"/>
      <c r="D893" s="2"/>
    </row>
    <row r="894" spans="3:4" x14ac:dyDescent="0.25">
      <c r="C894" s="2"/>
      <c r="D894" s="2"/>
    </row>
    <row r="895" spans="3:4" x14ac:dyDescent="0.25">
      <c r="C895" s="2"/>
      <c r="D895" s="2"/>
    </row>
    <row r="896" spans="3:4" x14ac:dyDescent="0.25">
      <c r="C896" s="2"/>
      <c r="D896" s="2"/>
    </row>
    <row r="897" spans="3:4" x14ac:dyDescent="0.25">
      <c r="C897" s="2"/>
      <c r="D897" s="2"/>
    </row>
    <row r="898" spans="3:4" x14ac:dyDescent="0.25">
      <c r="C898" s="2"/>
      <c r="D898" s="2"/>
    </row>
    <row r="899" spans="3:4" x14ac:dyDescent="0.25">
      <c r="C899" s="2"/>
      <c r="D899" s="2"/>
    </row>
    <row r="900" spans="3:4" x14ac:dyDescent="0.25">
      <c r="C900" s="2"/>
      <c r="D900" s="2"/>
    </row>
    <row r="901" spans="3:4" x14ac:dyDescent="0.25">
      <c r="C901" s="2"/>
      <c r="D901" s="2"/>
    </row>
    <row r="902" spans="3:4" x14ac:dyDescent="0.25">
      <c r="C902" s="2"/>
      <c r="D902" s="2"/>
    </row>
    <row r="903" spans="3:4" x14ac:dyDescent="0.25">
      <c r="C903" s="2"/>
      <c r="D903" s="2"/>
    </row>
    <row r="904" spans="3:4" x14ac:dyDescent="0.25">
      <c r="C904" s="2"/>
      <c r="D904" s="2"/>
    </row>
    <row r="905" spans="3:4" x14ac:dyDescent="0.25">
      <c r="C905" s="2"/>
      <c r="D905" s="2"/>
    </row>
    <row r="906" spans="3:4" x14ac:dyDescent="0.25">
      <c r="C906" s="2"/>
      <c r="D906" s="2"/>
    </row>
    <row r="907" spans="3:4" x14ac:dyDescent="0.25">
      <c r="C907" s="2"/>
      <c r="D907" s="2"/>
    </row>
    <row r="908" spans="3:4" x14ac:dyDescent="0.25">
      <c r="C908" s="2"/>
      <c r="D908" s="2"/>
    </row>
    <row r="909" spans="3:4" x14ac:dyDescent="0.25">
      <c r="C909" s="2"/>
      <c r="D909" s="2"/>
    </row>
    <row r="910" spans="3:4" x14ac:dyDescent="0.25">
      <c r="C910" s="2"/>
      <c r="D910" s="2"/>
    </row>
    <row r="911" spans="3:4" x14ac:dyDescent="0.25">
      <c r="C911" s="2"/>
      <c r="D911" s="2"/>
    </row>
    <row r="912" spans="3:4" x14ac:dyDescent="0.25">
      <c r="C912" s="2"/>
      <c r="D912" s="2"/>
    </row>
    <row r="913" spans="3:4" x14ac:dyDescent="0.25">
      <c r="C913" s="2"/>
      <c r="D913" s="2"/>
    </row>
    <row r="914" spans="3:4" x14ac:dyDescent="0.25">
      <c r="C914" s="2"/>
      <c r="D914" s="2"/>
    </row>
    <row r="915" spans="3:4" x14ac:dyDescent="0.25">
      <c r="C915" s="2"/>
      <c r="D915" s="2"/>
    </row>
    <row r="916" spans="3:4" x14ac:dyDescent="0.25">
      <c r="C916" s="2"/>
      <c r="D916" s="2"/>
    </row>
    <row r="917" spans="3:4" x14ac:dyDescent="0.25">
      <c r="C917" s="2"/>
      <c r="D917" s="2"/>
    </row>
    <row r="918" spans="3:4" x14ac:dyDescent="0.25">
      <c r="C918" s="2"/>
      <c r="D918" s="2"/>
    </row>
    <row r="919" spans="3:4" x14ac:dyDescent="0.25">
      <c r="C919" s="2"/>
      <c r="D919" s="2"/>
    </row>
    <row r="920" spans="3:4" x14ac:dyDescent="0.25">
      <c r="C920" s="2"/>
      <c r="D920" s="2"/>
    </row>
    <row r="921" spans="3:4" x14ac:dyDescent="0.25">
      <c r="C921" s="2"/>
      <c r="D921" s="2"/>
    </row>
    <row r="922" spans="3:4" x14ac:dyDescent="0.25">
      <c r="C922" s="2"/>
      <c r="D922" s="2"/>
    </row>
    <row r="923" spans="3:4" x14ac:dyDescent="0.25">
      <c r="C923" s="2"/>
      <c r="D923" s="2"/>
    </row>
    <row r="924" spans="3:4" x14ac:dyDescent="0.25">
      <c r="C924" s="2"/>
      <c r="D924" s="2"/>
    </row>
    <row r="925" spans="3:4" x14ac:dyDescent="0.25">
      <c r="C925" s="2"/>
      <c r="D925" s="2"/>
    </row>
    <row r="926" spans="3:4" x14ac:dyDescent="0.25">
      <c r="C926" s="2"/>
      <c r="D926" s="2"/>
    </row>
    <row r="927" spans="3:4" x14ac:dyDescent="0.25">
      <c r="C927" s="2"/>
      <c r="D927" s="2"/>
    </row>
    <row r="928" spans="3:4" x14ac:dyDescent="0.25">
      <c r="C928" s="2"/>
      <c r="D928" s="2"/>
    </row>
    <row r="929" spans="3:4" x14ac:dyDescent="0.25">
      <c r="C929" s="2"/>
      <c r="D929" s="2"/>
    </row>
    <row r="930" spans="3:4" x14ac:dyDescent="0.25">
      <c r="C930" s="2"/>
      <c r="D930" s="2"/>
    </row>
    <row r="931" spans="3:4" x14ac:dyDescent="0.25">
      <c r="C931" s="2"/>
      <c r="D931" s="2"/>
    </row>
    <row r="932" spans="3:4" x14ac:dyDescent="0.25">
      <c r="C932" s="2"/>
      <c r="D932" s="2"/>
    </row>
    <row r="933" spans="3:4" x14ac:dyDescent="0.25">
      <c r="C933" s="2"/>
      <c r="D933" s="2"/>
    </row>
    <row r="934" spans="3:4" x14ac:dyDescent="0.25">
      <c r="C934" s="2"/>
      <c r="D934" s="2"/>
    </row>
    <row r="935" spans="3:4" x14ac:dyDescent="0.25">
      <c r="C935" s="2"/>
      <c r="D935" s="2"/>
    </row>
    <row r="936" spans="3:4" x14ac:dyDescent="0.25">
      <c r="C936" s="2"/>
      <c r="D936" s="2"/>
    </row>
    <row r="937" spans="3:4" x14ac:dyDescent="0.25">
      <c r="C937" s="2"/>
      <c r="D937" s="2"/>
    </row>
    <row r="938" spans="3:4" x14ac:dyDescent="0.25">
      <c r="C938" s="2"/>
      <c r="D938" s="2"/>
    </row>
    <row r="939" spans="3:4" x14ac:dyDescent="0.25">
      <c r="C939" s="2"/>
      <c r="D939" s="2"/>
    </row>
    <row r="940" spans="3:4" x14ac:dyDescent="0.25">
      <c r="C940" s="2"/>
      <c r="D940" s="2"/>
    </row>
    <row r="941" spans="3:4" x14ac:dyDescent="0.25">
      <c r="C941" s="2"/>
      <c r="D941" s="2"/>
    </row>
    <row r="942" spans="3:4" x14ac:dyDescent="0.25">
      <c r="C942" s="2"/>
      <c r="D942" s="2"/>
    </row>
    <row r="943" spans="3:4" x14ac:dyDescent="0.25">
      <c r="C943" s="2"/>
      <c r="D943" s="2"/>
    </row>
    <row r="944" spans="3:4" x14ac:dyDescent="0.25">
      <c r="C944" s="2"/>
      <c r="D944" s="2"/>
    </row>
    <row r="945" spans="3:4" x14ac:dyDescent="0.25">
      <c r="C945" s="2"/>
      <c r="D945" s="2"/>
    </row>
    <row r="946" spans="3:4" x14ac:dyDescent="0.25">
      <c r="C946" s="2"/>
      <c r="D946" s="2"/>
    </row>
    <row r="947" spans="3:4" x14ac:dyDescent="0.25">
      <c r="C947" s="2"/>
      <c r="D947" s="2"/>
    </row>
    <row r="948" spans="3:4" x14ac:dyDescent="0.25">
      <c r="C948" s="2"/>
      <c r="D948" s="2"/>
    </row>
    <row r="949" spans="3:4" x14ac:dyDescent="0.25">
      <c r="C949" s="2"/>
      <c r="D949" s="2"/>
    </row>
    <row r="950" spans="3:4" x14ac:dyDescent="0.25">
      <c r="C950" s="2"/>
      <c r="D950" s="2"/>
    </row>
    <row r="951" spans="3:4" x14ac:dyDescent="0.25">
      <c r="C951" s="2"/>
      <c r="D951" s="2"/>
    </row>
    <row r="952" spans="3:4" x14ac:dyDescent="0.25">
      <c r="C952" s="2"/>
      <c r="D952" s="2"/>
    </row>
    <row r="953" spans="3:4" x14ac:dyDescent="0.25">
      <c r="C953" s="2"/>
      <c r="D953" s="2"/>
    </row>
    <row r="954" spans="3:4" x14ac:dyDescent="0.25">
      <c r="C954" s="2"/>
      <c r="D954" s="2"/>
    </row>
    <row r="955" spans="3:4" x14ac:dyDescent="0.25">
      <c r="C955" s="2"/>
      <c r="D955" s="2"/>
    </row>
    <row r="956" spans="3:4" x14ac:dyDescent="0.25">
      <c r="C956" s="2"/>
      <c r="D956" s="2"/>
    </row>
    <row r="957" spans="3:4" x14ac:dyDescent="0.25">
      <c r="C957" s="2"/>
      <c r="D957" s="2"/>
    </row>
    <row r="958" spans="3:4" x14ac:dyDescent="0.25">
      <c r="C958" s="2"/>
      <c r="D958" s="2"/>
    </row>
    <row r="959" spans="3:4" x14ac:dyDescent="0.25">
      <c r="C959" s="2"/>
      <c r="D959" s="2"/>
    </row>
    <row r="960" spans="3:4" x14ac:dyDescent="0.25">
      <c r="C960" s="2"/>
      <c r="D960" s="2"/>
    </row>
    <row r="961" spans="3:4" x14ac:dyDescent="0.25">
      <c r="C961" s="2"/>
      <c r="D961" s="2"/>
    </row>
    <row r="962" spans="3:4" x14ac:dyDescent="0.25">
      <c r="C962" s="2"/>
      <c r="D962" s="2"/>
    </row>
    <row r="963" spans="3:4" x14ac:dyDescent="0.25">
      <c r="C963" s="2"/>
      <c r="D963" s="2"/>
    </row>
    <row r="964" spans="3:4" x14ac:dyDescent="0.25">
      <c r="C964" s="2"/>
      <c r="D964" s="2"/>
    </row>
    <row r="965" spans="3:4" x14ac:dyDescent="0.25">
      <c r="C965" s="2"/>
      <c r="D965" s="2"/>
    </row>
    <row r="966" spans="3:4" x14ac:dyDescent="0.25">
      <c r="C966" s="2"/>
      <c r="D966" s="2"/>
    </row>
    <row r="967" spans="3:4" x14ac:dyDescent="0.25">
      <c r="C967" s="2"/>
      <c r="D967" s="2"/>
    </row>
    <row r="968" spans="3:4" x14ac:dyDescent="0.25">
      <c r="C968" s="2"/>
      <c r="D968" s="2"/>
    </row>
    <row r="969" spans="3:4" x14ac:dyDescent="0.25">
      <c r="C969" s="2"/>
      <c r="D969" s="2"/>
    </row>
    <row r="970" spans="3:4" x14ac:dyDescent="0.25">
      <c r="C970" s="2"/>
      <c r="D970" s="2"/>
    </row>
    <row r="971" spans="3:4" x14ac:dyDescent="0.25">
      <c r="C971" s="2"/>
      <c r="D971" s="2"/>
    </row>
    <row r="972" spans="3:4" x14ac:dyDescent="0.25">
      <c r="C972" s="2"/>
      <c r="D972" s="2"/>
    </row>
    <row r="973" spans="3:4" x14ac:dyDescent="0.25">
      <c r="C973" s="2"/>
      <c r="D973" s="2"/>
    </row>
    <row r="974" spans="3:4" x14ac:dyDescent="0.25">
      <c r="C974" s="2"/>
      <c r="D974" s="2"/>
    </row>
    <row r="975" spans="3:4" x14ac:dyDescent="0.25">
      <c r="C975" s="2"/>
      <c r="D975" s="2"/>
    </row>
    <row r="976" spans="3:4" x14ac:dyDescent="0.25">
      <c r="C976" s="2"/>
      <c r="D976" s="2"/>
    </row>
    <row r="977" spans="3:4" x14ac:dyDescent="0.25">
      <c r="C977" s="2"/>
      <c r="D977" s="2"/>
    </row>
    <row r="978" spans="3:4" x14ac:dyDescent="0.25">
      <c r="C978" s="2"/>
      <c r="D978" s="2"/>
    </row>
    <row r="979" spans="3:4" x14ac:dyDescent="0.25">
      <c r="C979" s="2"/>
      <c r="D979" s="2"/>
    </row>
    <row r="980" spans="3:4" x14ac:dyDescent="0.25">
      <c r="C980" s="2"/>
      <c r="D980" s="2"/>
    </row>
    <row r="981" spans="3:4" x14ac:dyDescent="0.25">
      <c r="C981" s="2"/>
      <c r="D981" s="2"/>
    </row>
    <row r="982" spans="3:4" x14ac:dyDescent="0.25">
      <c r="C982" s="2"/>
      <c r="D982" s="2"/>
    </row>
    <row r="983" spans="3:4" x14ac:dyDescent="0.25">
      <c r="C983" s="2"/>
      <c r="D983" s="2"/>
    </row>
    <row r="984" spans="3:4" x14ac:dyDescent="0.25">
      <c r="C984" s="2"/>
      <c r="D984" s="2"/>
    </row>
    <row r="985" spans="3:4" x14ac:dyDescent="0.25">
      <c r="C985" s="2"/>
      <c r="D985" s="2"/>
    </row>
    <row r="986" spans="3:4" x14ac:dyDescent="0.25">
      <c r="C986" s="2"/>
      <c r="D986" s="2"/>
    </row>
    <row r="987" spans="3:4" x14ac:dyDescent="0.25">
      <c r="C987" s="2"/>
      <c r="D987" s="2"/>
    </row>
    <row r="988" spans="3:4" x14ac:dyDescent="0.25">
      <c r="C988" s="2"/>
      <c r="D988" s="2"/>
    </row>
    <row r="989" spans="3:4" x14ac:dyDescent="0.25">
      <c r="C989" s="2"/>
      <c r="D989" s="2"/>
    </row>
    <row r="990" spans="3:4" x14ac:dyDescent="0.25">
      <c r="C990" s="2"/>
      <c r="D990" s="2"/>
    </row>
    <row r="991" spans="3:4" x14ac:dyDescent="0.25">
      <c r="C991" s="2"/>
      <c r="D991" s="2"/>
    </row>
    <row r="992" spans="3:4" x14ac:dyDescent="0.25">
      <c r="C992" s="2"/>
      <c r="D992" s="2"/>
    </row>
    <row r="993" spans="3:4" x14ac:dyDescent="0.25">
      <c r="C993" s="2"/>
      <c r="D993" s="2"/>
    </row>
    <row r="994" spans="3:4" x14ac:dyDescent="0.25">
      <c r="C994" s="2"/>
      <c r="D994" s="2"/>
    </row>
    <row r="995" spans="3:4" x14ac:dyDescent="0.25">
      <c r="C995" s="2"/>
      <c r="D995" s="2"/>
    </row>
    <row r="996" spans="3:4" x14ac:dyDescent="0.25">
      <c r="C996" s="2"/>
      <c r="D996" s="2"/>
    </row>
    <row r="997" spans="3:4" x14ac:dyDescent="0.25">
      <c r="C997" s="2"/>
      <c r="D997" s="2"/>
    </row>
    <row r="998" spans="3:4" x14ac:dyDescent="0.25">
      <c r="C998" s="2"/>
      <c r="D998" s="2"/>
    </row>
    <row r="999" spans="3:4" x14ac:dyDescent="0.25">
      <c r="C999" s="2"/>
      <c r="D999" s="2"/>
    </row>
    <row r="1000" spans="3:4" x14ac:dyDescent="0.25">
      <c r="C1000" s="2"/>
      <c r="D1000" s="2"/>
    </row>
    <row r="1001" spans="3:4" x14ac:dyDescent="0.25">
      <c r="C1001" s="2"/>
      <c r="D1001" s="2"/>
    </row>
    <row r="1002" spans="3:4" x14ac:dyDescent="0.25">
      <c r="C1002" s="2"/>
      <c r="D1002" s="2"/>
    </row>
    <row r="1003" spans="3:4" x14ac:dyDescent="0.25">
      <c r="C1003" s="2"/>
      <c r="D1003" s="2"/>
    </row>
    <row r="1004" spans="3:4" x14ac:dyDescent="0.25">
      <c r="C1004" s="2"/>
      <c r="D1004" s="2"/>
    </row>
    <row r="1005" spans="3:4" x14ac:dyDescent="0.25">
      <c r="C1005" s="2"/>
      <c r="D1005" s="2"/>
    </row>
    <row r="1006" spans="3:4" x14ac:dyDescent="0.25">
      <c r="C1006" s="2"/>
      <c r="D1006" s="2"/>
    </row>
    <row r="1007" spans="3:4" x14ac:dyDescent="0.25">
      <c r="C1007" s="2"/>
      <c r="D1007" s="2"/>
    </row>
    <row r="1008" spans="3:4" x14ac:dyDescent="0.25">
      <c r="C1008" s="2"/>
      <c r="D1008" s="2"/>
    </row>
    <row r="1009" spans="3:4" x14ac:dyDescent="0.25">
      <c r="C1009" s="2"/>
      <c r="D1009" s="2"/>
    </row>
    <row r="1010" spans="3:4" x14ac:dyDescent="0.25">
      <c r="C1010" s="2"/>
      <c r="D1010" s="2"/>
    </row>
    <row r="1011" spans="3:4" x14ac:dyDescent="0.25">
      <c r="C1011" s="2"/>
      <c r="D1011" s="2"/>
    </row>
    <row r="1012" spans="3:4" x14ac:dyDescent="0.25">
      <c r="C1012" s="2"/>
      <c r="D1012" s="2"/>
    </row>
    <row r="1013" spans="3:4" x14ac:dyDescent="0.25">
      <c r="C1013" s="2"/>
      <c r="D1013" s="2"/>
    </row>
    <row r="1014" spans="3:4" x14ac:dyDescent="0.25">
      <c r="C1014" s="2"/>
      <c r="D1014" s="2"/>
    </row>
    <row r="1015" spans="3:4" x14ac:dyDescent="0.25">
      <c r="C1015" s="2"/>
      <c r="D1015" s="2"/>
    </row>
    <row r="1016" spans="3:4" x14ac:dyDescent="0.25">
      <c r="C1016" s="2"/>
      <c r="D1016" s="2"/>
    </row>
    <row r="1017" spans="3:4" x14ac:dyDescent="0.25">
      <c r="C1017" s="2"/>
      <c r="D1017" s="2"/>
    </row>
    <row r="1018" spans="3:4" x14ac:dyDescent="0.25">
      <c r="C1018" s="2"/>
      <c r="D1018" s="2"/>
    </row>
    <row r="1019" spans="3:4" x14ac:dyDescent="0.25">
      <c r="C1019" s="2"/>
      <c r="D1019" s="2"/>
    </row>
    <row r="1020" spans="3:4" x14ac:dyDescent="0.25">
      <c r="C1020" s="2"/>
      <c r="D1020" s="2"/>
    </row>
    <row r="1021" spans="3:4" x14ac:dyDescent="0.25">
      <c r="C1021" s="2"/>
      <c r="D1021" s="2"/>
    </row>
    <row r="1022" spans="3:4" x14ac:dyDescent="0.25">
      <c r="C1022" s="2"/>
      <c r="D1022" s="2"/>
    </row>
    <row r="1023" spans="3:4" x14ac:dyDescent="0.25">
      <c r="C1023" s="2"/>
      <c r="D1023" s="2"/>
    </row>
    <row r="1024" spans="3:4" x14ac:dyDescent="0.25">
      <c r="C1024" s="2"/>
      <c r="D1024" s="2"/>
    </row>
    <row r="1025" spans="3:4" x14ac:dyDescent="0.25">
      <c r="C1025" s="2"/>
      <c r="D1025" s="2"/>
    </row>
    <row r="1026" spans="3:4" x14ac:dyDescent="0.25">
      <c r="C1026" s="2"/>
      <c r="D1026" s="2"/>
    </row>
    <row r="1027" spans="3:4" x14ac:dyDescent="0.25">
      <c r="C1027" s="2"/>
      <c r="D1027" s="2"/>
    </row>
    <row r="1028" spans="3:4" x14ac:dyDescent="0.25">
      <c r="C1028" s="2"/>
      <c r="D1028" s="2"/>
    </row>
    <row r="1029" spans="3:4" x14ac:dyDescent="0.25">
      <c r="C1029" s="2"/>
      <c r="D1029" s="2"/>
    </row>
    <row r="1030" spans="3:4" x14ac:dyDescent="0.25">
      <c r="C1030" s="2"/>
      <c r="D1030" s="2"/>
    </row>
    <row r="1031" spans="3:4" x14ac:dyDescent="0.25">
      <c r="C1031" s="2"/>
      <c r="D1031" s="2"/>
    </row>
    <row r="1032" spans="3:4" x14ac:dyDescent="0.25">
      <c r="C1032" s="2"/>
      <c r="D1032" s="2"/>
    </row>
    <row r="1033" spans="3:4" x14ac:dyDescent="0.25">
      <c r="C1033" s="2"/>
      <c r="D1033" s="2"/>
    </row>
    <row r="1034" spans="3:4" x14ac:dyDescent="0.25">
      <c r="C1034" s="2"/>
      <c r="D1034" s="2"/>
    </row>
    <row r="1035" spans="3:4" x14ac:dyDescent="0.25">
      <c r="C1035" s="2"/>
      <c r="D1035" s="2"/>
    </row>
    <row r="1036" spans="3:4" x14ac:dyDescent="0.25">
      <c r="C1036" s="2"/>
      <c r="D1036" s="2"/>
    </row>
    <row r="1037" spans="3:4" x14ac:dyDescent="0.25">
      <c r="C1037" s="2"/>
      <c r="D1037" s="2"/>
    </row>
    <row r="1038" spans="3:4" x14ac:dyDescent="0.25">
      <c r="C1038" s="2"/>
      <c r="D1038" s="2"/>
    </row>
    <row r="1039" spans="3:4" x14ac:dyDescent="0.25">
      <c r="C1039" s="2"/>
      <c r="D1039" s="2"/>
    </row>
    <row r="1040" spans="3:4" x14ac:dyDescent="0.25">
      <c r="C1040" s="2"/>
      <c r="D1040" s="2"/>
    </row>
    <row r="1041" spans="3:4" x14ac:dyDescent="0.25">
      <c r="C1041" s="2"/>
      <c r="D1041" s="2"/>
    </row>
    <row r="1042" spans="3:4" x14ac:dyDescent="0.25">
      <c r="C1042" s="2"/>
      <c r="D1042" s="2"/>
    </row>
    <row r="1043" spans="3:4" x14ac:dyDescent="0.25">
      <c r="C1043" s="2"/>
      <c r="D1043" s="2"/>
    </row>
    <row r="1044" spans="3:4" x14ac:dyDescent="0.25">
      <c r="C1044" s="2"/>
      <c r="D1044" s="2"/>
    </row>
    <row r="1045" spans="3:4" x14ac:dyDescent="0.25">
      <c r="C1045" s="2"/>
      <c r="D1045" s="2"/>
    </row>
    <row r="1046" spans="3:4" x14ac:dyDescent="0.25">
      <c r="C1046" s="2"/>
      <c r="D1046" s="2"/>
    </row>
    <row r="1047" spans="3:4" x14ac:dyDescent="0.25">
      <c r="C1047" s="2"/>
      <c r="D1047" s="2"/>
    </row>
    <row r="1048" spans="3:4" x14ac:dyDescent="0.25">
      <c r="C1048" s="2"/>
      <c r="D1048" s="2"/>
    </row>
    <row r="1049" spans="3:4" x14ac:dyDescent="0.25">
      <c r="C1049" s="2"/>
      <c r="D1049" s="2"/>
    </row>
    <row r="1050" spans="3:4" x14ac:dyDescent="0.25">
      <c r="C1050" s="2"/>
      <c r="D1050" s="2"/>
    </row>
    <row r="1051" spans="3:4" x14ac:dyDescent="0.25">
      <c r="C1051" s="2"/>
      <c r="D1051" s="2"/>
    </row>
    <row r="1052" spans="3:4" x14ac:dyDescent="0.25">
      <c r="C1052" s="2"/>
      <c r="D1052" s="2"/>
    </row>
    <row r="1053" spans="3:4" x14ac:dyDescent="0.25">
      <c r="C1053" s="2"/>
      <c r="D1053" s="2"/>
    </row>
    <row r="1054" spans="3:4" x14ac:dyDescent="0.25">
      <c r="C1054" s="2"/>
      <c r="D1054" s="2"/>
    </row>
    <row r="1055" spans="3:4" x14ac:dyDescent="0.25">
      <c r="C1055" s="2"/>
      <c r="D1055" s="2"/>
    </row>
    <row r="1056" spans="3:4" x14ac:dyDescent="0.25">
      <c r="C1056" s="2"/>
      <c r="D1056" s="2"/>
    </row>
    <row r="1057" spans="3:4" x14ac:dyDescent="0.25">
      <c r="C1057" s="2"/>
      <c r="D1057" s="2"/>
    </row>
    <row r="1058" spans="3:4" x14ac:dyDescent="0.25">
      <c r="C1058" s="2"/>
      <c r="D1058" s="2"/>
    </row>
    <row r="1059" spans="3:4" x14ac:dyDescent="0.25">
      <c r="C1059" s="2"/>
      <c r="D1059" s="2"/>
    </row>
    <row r="1060" spans="3:4" x14ac:dyDescent="0.25">
      <c r="C1060" s="2"/>
      <c r="D1060" s="2"/>
    </row>
    <row r="1061" spans="3:4" x14ac:dyDescent="0.25">
      <c r="C1061" s="2"/>
      <c r="D1061" s="2"/>
    </row>
    <row r="1062" spans="3:4" x14ac:dyDescent="0.25">
      <c r="C1062" s="2"/>
      <c r="D1062" s="2"/>
    </row>
    <row r="1063" spans="3:4" x14ac:dyDescent="0.25">
      <c r="C1063" s="2"/>
      <c r="D1063" s="2"/>
    </row>
    <row r="1064" spans="3:4" x14ac:dyDescent="0.25">
      <c r="C1064" s="2"/>
      <c r="D1064" s="2"/>
    </row>
    <row r="1065" spans="3:4" x14ac:dyDescent="0.25">
      <c r="C1065" s="2"/>
      <c r="D1065" s="2"/>
    </row>
    <row r="1066" spans="3:4" x14ac:dyDescent="0.25">
      <c r="C1066" s="2"/>
      <c r="D1066" s="2"/>
    </row>
    <row r="1067" spans="3:4" x14ac:dyDescent="0.25">
      <c r="C1067" s="2"/>
      <c r="D1067" s="2"/>
    </row>
    <row r="1068" spans="3:4" x14ac:dyDescent="0.25">
      <c r="C1068" s="2"/>
      <c r="D1068" s="2"/>
    </row>
    <row r="1069" spans="3:4" x14ac:dyDescent="0.25">
      <c r="C1069" s="2"/>
      <c r="D1069" s="2"/>
    </row>
    <row r="1070" spans="3:4" x14ac:dyDescent="0.25">
      <c r="C1070" s="2"/>
      <c r="D1070" s="2"/>
    </row>
    <row r="1071" spans="3:4" x14ac:dyDescent="0.25">
      <c r="C1071" s="2"/>
      <c r="D1071" s="2"/>
    </row>
    <row r="1072" spans="3:4" x14ac:dyDescent="0.25">
      <c r="C1072" s="2"/>
      <c r="D1072" s="2"/>
    </row>
    <row r="1073" spans="3:4" x14ac:dyDescent="0.25">
      <c r="C1073" s="2"/>
      <c r="D1073" s="2"/>
    </row>
    <row r="1074" spans="3:4" x14ac:dyDescent="0.25">
      <c r="C1074" s="2"/>
      <c r="D1074" s="2"/>
    </row>
    <row r="1075" spans="3:4" x14ac:dyDescent="0.25">
      <c r="C1075" s="2"/>
      <c r="D1075" s="2"/>
    </row>
    <row r="1076" spans="3:4" x14ac:dyDescent="0.25">
      <c r="C1076" s="2"/>
      <c r="D1076" s="2"/>
    </row>
    <row r="1077" spans="3:4" x14ac:dyDescent="0.25">
      <c r="C1077" s="2"/>
      <c r="D1077" s="2"/>
    </row>
    <row r="1078" spans="3:4" x14ac:dyDescent="0.25">
      <c r="C1078" s="2"/>
      <c r="D1078" s="2"/>
    </row>
    <row r="1079" spans="3:4" x14ac:dyDescent="0.25">
      <c r="C1079" s="2"/>
      <c r="D1079" s="2"/>
    </row>
    <row r="1080" spans="3:4" x14ac:dyDescent="0.25">
      <c r="C1080" s="2"/>
      <c r="D1080" s="2"/>
    </row>
    <row r="1081" spans="3:4" x14ac:dyDescent="0.25">
      <c r="C1081" s="2"/>
      <c r="D1081" s="2"/>
    </row>
    <row r="1082" spans="3:4" x14ac:dyDescent="0.25">
      <c r="C1082" s="2"/>
      <c r="D1082" s="2"/>
    </row>
    <row r="1083" spans="3:4" x14ac:dyDescent="0.25">
      <c r="C1083" s="2"/>
      <c r="D1083" s="2"/>
    </row>
    <row r="1084" spans="3:4" x14ac:dyDescent="0.25">
      <c r="C1084" s="2"/>
      <c r="D1084" s="2"/>
    </row>
    <row r="1085" spans="3:4" x14ac:dyDescent="0.25">
      <c r="C1085" s="2"/>
      <c r="D1085" s="2"/>
    </row>
    <row r="1086" spans="3:4" x14ac:dyDescent="0.25">
      <c r="C1086" s="2"/>
      <c r="D1086" s="2"/>
    </row>
    <row r="1087" spans="3:4" x14ac:dyDescent="0.25">
      <c r="C1087" s="2"/>
      <c r="D1087" s="2"/>
    </row>
    <row r="1088" spans="3:4" x14ac:dyDescent="0.25">
      <c r="C1088" s="2"/>
      <c r="D1088" s="2"/>
    </row>
    <row r="1089" spans="3:4" x14ac:dyDescent="0.25">
      <c r="C1089" s="2"/>
      <c r="D1089" s="2"/>
    </row>
    <row r="1090" spans="3:4" x14ac:dyDescent="0.25">
      <c r="C1090" s="2"/>
      <c r="D1090" s="2"/>
    </row>
    <row r="1091" spans="3:4" x14ac:dyDescent="0.25">
      <c r="C1091" s="2"/>
      <c r="D1091" s="2"/>
    </row>
    <row r="1092" spans="3:4" x14ac:dyDescent="0.25">
      <c r="C1092" s="2"/>
      <c r="D1092" s="2"/>
    </row>
    <row r="1093" spans="3:4" x14ac:dyDescent="0.25">
      <c r="C1093" s="2"/>
      <c r="D1093" s="2"/>
    </row>
    <row r="1094" spans="3:4" x14ac:dyDescent="0.25">
      <c r="C1094" s="2"/>
      <c r="D1094" s="2"/>
    </row>
    <row r="1095" spans="3:4" x14ac:dyDescent="0.25">
      <c r="C1095" s="2"/>
      <c r="D1095" s="2"/>
    </row>
    <row r="1096" spans="3:4" x14ac:dyDescent="0.25">
      <c r="C1096" s="2"/>
      <c r="D1096" s="2"/>
    </row>
    <row r="1097" spans="3:4" x14ac:dyDescent="0.25">
      <c r="C1097" s="2"/>
      <c r="D1097" s="2"/>
    </row>
    <row r="1098" spans="3:4" x14ac:dyDescent="0.25">
      <c r="C1098" s="2"/>
      <c r="D1098" s="2"/>
    </row>
    <row r="1099" spans="3:4" x14ac:dyDescent="0.25">
      <c r="C1099" s="2"/>
      <c r="D1099" s="2"/>
    </row>
    <row r="1100" spans="3:4" x14ac:dyDescent="0.25">
      <c r="C1100" s="2"/>
      <c r="D1100" s="2"/>
    </row>
    <row r="1101" spans="3:4" x14ac:dyDescent="0.25">
      <c r="C1101" s="2"/>
      <c r="D1101" s="2"/>
    </row>
    <row r="1102" spans="3:4" x14ac:dyDescent="0.25">
      <c r="C1102" s="2"/>
      <c r="D1102" s="2"/>
    </row>
    <row r="1103" spans="3:4" x14ac:dyDescent="0.25">
      <c r="C1103" s="2"/>
      <c r="D1103" s="2"/>
    </row>
    <row r="1104" spans="3:4" x14ac:dyDescent="0.25">
      <c r="C1104" s="2"/>
      <c r="D1104" s="2"/>
    </row>
    <row r="1105" spans="3:4" x14ac:dyDescent="0.25">
      <c r="C1105" s="2"/>
      <c r="D1105" s="2"/>
    </row>
    <row r="1106" spans="3:4" x14ac:dyDescent="0.25">
      <c r="C1106" s="2"/>
      <c r="D1106" s="2"/>
    </row>
    <row r="1107" spans="3:4" x14ac:dyDescent="0.25">
      <c r="C1107" s="2"/>
      <c r="D1107" s="2"/>
    </row>
    <row r="1108" spans="3:4" x14ac:dyDescent="0.25">
      <c r="C1108" s="2"/>
      <c r="D1108" s="2"/>
    </row>
    <row r="1109" spans="3:4" x14ac:dyDescent="0.25">
      <c r="C1109" s="2"/>
      <c r="D1109" s="2"/>
    </row>
    <row r="1110" spans="3:4" x14ac:dyDescent="0.25">
      <c r="C1110" s="2"/>
      <c r="D1110" s="2"/>
    </row>
    <row r="1111" spans="3:4" x14ac:dyDescent="0.25">
      <c r="C1111" s="2"/>
      <c r="D1111" s="2"/>
    </row>
    <row r="1112" spans="3:4" x14ac:dyDescent="0.25">
      <c r="C1112" s="2"/>
      <c r="D1112" s="2"/>
    </row>
    <row r="1113" spans="3:4" x14ac:dyDescent="0.25">
      <c r="C1113" s="2"/>
      <c r="D1113" s="2"/>
    </row>
    <row r="1114" spans="3:4" x14ac:dyDescent="0.25">
      <c r="C1114" s="2"/>
      <c r="D1114" s="2"/>
    </row>
    <row r="1115" spans="3:4" x14ac:dyDescent="0.25">
      <c r="C1115" s="2"/>
      <c r="D1115" s="2"/>
    </row>
    <row r="1116" spans="3:4" x14ac:dyDescent="0.25">
      <c r="C1116" s="2"/>
      <c r="D1116" s="2"/>
    </row>
    <row r="1117" spans="3:4" x14ac:dyDescent="0.25">
      <c r="C1117" s="2"/>
      <c r="D1117" s="2"/>
    </row>
    <row r="1118" spans="3:4" x14ac:dyDescent="0.25">
      <c r="C1118" s="2"/>
      <c r="D1118" s="2"/>
    </row>
    <row r="1119" spans="3:4" x14ac:dyDescent="0.25">
      <c r="C1119" s="2"/>
      <c r="D1119" s="2"/>
    </row>
    <row r="1120" spans="3:4" x14ac:dyDescent="0.25">
      <c r="C1120" s="2"/>
      <c r="D1120" s="2"/>
    </row>
    <row r="1121" spans="3:4" x14ac:dyDescent="0.25">
      <c r="C1121" s="2"/>
      <c r="D1121" s="2"/>
    </row>
    <row r="1122" spans="3:4" x14ac:dyDescent="0.25">
      <c r="C1122" s="2"/>
      <c r="D1122" s="2"/>
    </row>
    <row r="1123" spans="3:4" x14ac:dyDescent="0.25">
      <c r="C1123" s="2"/>
      <c r="D1123" s="2"/>
    </row>
    <row r="1124" spans="3:4" x14ac:dyDescent="0.25">
      <c r="C1124" s="2"/>
      <c r="D1124" s="2"/>
    </row>
    <row r="1125" spans="3:4" x14ac:dyDescent="0.25">
      <c r="C1125" s="2"/>
      <c r="D1125" s="2"/>
    </row>
    <row r="1126" spans="3:4" x14ac:dyDescent="0.25">
      <c r="C1126" s="2"/>
      <c r="D1126" s="2"/>
    </row>
    <row r="1127" spans="3:4" x14ac:dyDescent="0.25">
      <c r="C1127" s="2"/>
      <c r="D1127" s="2"/>
    </row>
    <row r="1128" spans="3:4" x14ac:dyDescent="0.25">
      <c r="C1128" s="2"/>
      <c r="D1128" s="2"/>
    </row>
    <row r="1129" spans="3:4" x14ac:dyDescent="0.25">
      <c r="C1129" s="2"/>
      <c r="D1129" s="2"/>
    </row>
    <row r="1130" spans="3:4" x14ac:dyDescent="0.25">
      <c r="C1130" s="2"/>
      <c r="D1130" s="2"/>
    </row>
    <row r="1131" spans="3:4" x14ac:dyDescent="0.25">
      <c r="C1131" s="2"/>
      <c r="D1131" s="2"/>
    </row>
    <row r="1132" spans="3:4" x14ac:dyDescent="0.25">
      <c r="C1132" s="2"/>
      <c r="D1132" s="2"/>
    </row>
    <row r="1133" spans="3:4" x14ac:dyDescent="0.25">
      <c r="C1133" s="2"/>
      <c r="D1133" s="2"/>
    </row>
    <row r="1134" spans="3:4" x14ac:dyDescent="0.25">
      <c r="C1134" s="2"/>
      <c r="D1134" s="2"/>
    </row>
    <row r="1135" spans="3:4" x14ac:dyDescent="0.25">
      <c r="C1135" s="2"/>
      <c r="D1135" s="2"/>
    </row>
    <row r="1136" spans="3:4" x14ac:dyDescent="0.25">
      <c r="C1136" s="2"/>
      <c r="D1136" s="2"/>
    </row>
    <row r="1137" spans="3:4" x14ac:dyDescent="0.25">
      <c r="C1137" s="2"/>
      <c r="D1137" s="2"/>
    </row>
    <row r="1138" spans="3:4" x14ac:dyDescent="0.25">
      <c r="C1138" s="2"/>
      <c r="D1138" s="2"/>
    </row>
    <row r="1139" spans="3:4" x14ac:dyDescent="0.25">
      <c r="C1139" s="2"/>
      <c r="D1139" s="2"/>
    </row>
    <row r="1140" spans="3:4" x14ac:dyDescent="0.25">
      <c r="C1140" s="2"/>
      <c r="D1140" s="2"/>
    </row>
    <row r="1141" spans="3:4" x14ac:dyDescent="0.25">
      <c r="C1141" s="2"/>
      <c r="D1141" s="2"/>
    </row>
    <row r="1142" spans="3:4" x14ac:dyDescent="0.25">
      <c r="C1142" s="2"/>
      <c r="D1142" s="2"/>
    </row>
    <row r="1143" spans="3:4" x14ac:dyDescent="0.25">
      <c r="C1143" s="2"/>
      <c r="D1143" s="2"/>
    </row>
    <row r="1144" spans="3:4" x14ac:dyDescent="0.25">
      <c r="C1144" s="2"/>
      <c r="D1144" s="2"/>
    </row>
    <row r="1145" spans="3:4" x14ac:dyDescent="0.25">
      <c r="C1145" s="2"/>
      <c r="D1145" s="2"/>
    </row>
    <row r="1146" spans="3:4" x14ac:dyDescent="0.25">
      <c r="C1146" s="2"/>
      <c r="D1146" s="2"/>
    </row>
    <row r="1147" spans="3:4" x14ac:dyDescent="0.25">
      <c r="C1147" s="2"/>
      <c r="D1147" s="2"/>
    </row>
    <row r="1148" spans="3:4" x14ac:dyDescent="0.25">
      <c r="C1148" s="2"/>
      <c r="D1148" s="2"/>
    </row>
    <row r="1149" spans="3:4" x14ac:dyDescent="0.25">
      <c r="C1149" s="2"/>
      <c r="D1149" s="2"/>
    </row>
    <row r="1150" spans="3:4" x14ac:dyDescent="0.25">
      <c r="C1150" s="2"/>
      <c r="D1150" s="2"/>
    </row>
    <row r="1151" spans="3:4" x14ac:dyDescent="0.25">
      <c r="C1151" s="2"/>
      <c r="D1151" s="2"/>
    </row>
    <row r="1152" spans="3:4" x14ac:dyDescent="0.25">
      <c r="C1152" s="2"/>
      <c r="D1152" s="2"/>
    </row>
    <row r="1153" spans="3:4" x14ac:dyDescent="0.25">
      <c r="C1153" s="2"/>
      <c r="D1153" s="2"/>
    </row>
    <row r="1154" spans="3:4" x14ac:dyDescent="0.25">
      <c r="C1154" s="2"/>
      <c r="D1154" s="2"/>
    </row>
    <row r="1155" spans="3:4" x14ac:dyDescent="0.25">
      <c r="C1155" s="2"/>
      <c r="D1155" s="2"/>
    </row>
    <row r="1156" spans="3:4" x14ac:dyDescent="0.25">
      <c r="C1156" s="2"/>
      <c r="D1156" s="2"/>
    </row>
    <row r="1157" spans="3:4" x14ac:dyDescent="0.25">
      <c r="C1157" s="2"/>
      <c r="D1157" s="2"/>
    </row>
    <row r="1158" spans="3:4" x14ac:dyDescent="0.25">
      <c r="C1158" s="2"/>
      <c r="D1158" s="2"/>
    </row>
    <row r="1159" spans="3:4" x14ac:dyDescent="0.25">
      <c r="C1159" s="2"/>
      <c r="D1159" s="2"/>
    </row>
    <row r="1160" spans="3:4" x14ac:dyDescent="0.25">
      <c r="C1160" s="2"/>
      <c r="D1160" s="2"/>
    </row>
    <row r="1161" spans="3:4" x14ac:dyDescent="0.25">
      <c r="C1161" s="2"/>
      <c r="D1161" s="2"/>
    </row>
    <row r="1162" spans="3:4" x14ac:dyDescent="0.25">
      <c r="C1162" s="2"/>
      <c r="D1162" s="2"/>
    </row>
    <row r="1163" spans="3:4" x14ac:dyDescent="0.25">
      <c r="C1163" s="2"/>
      <c r="D1163" s="2"/>
    </row>
    <row r="1164" spans="3:4" x14ac:dyDescent="0.25">
      <c r="C1164" s="2"/>
      <c r="D1164" s="2"/>
    </row>
    <row r="1165" spans="3:4" x14ac:dyDescent="0.25">
      <c r="C1165" s="2"/>
      <c r="D1165" s="2"/>
    </row>
    <row r="1166" spans="3:4" x14ac:dyDescent="0.25">
      <c r="C1166" s="2"/>
      <c r="D1166" s="2"/>
    </row>
    <row r="1167" spans="3:4" x14ac:dyDescent="0.25">
      <c r="C1167" s="2"/>
      <c r="D1167" s="2"/>
    </row>
    <row r="1168" spans="3:4" x14ac:dyDescent="0.25">
      <c r="C1168" s="2"/>
      <c r="D1168" s="2"/>
    </row>
    <row r="1169" spans="3:4" x14ac:dyDescent="0.25">
      <c r="C1169" s="2"/>
      <c r="D1169" s="2"/>
    </row>
    <row r="1170" spans="3:4" x14ac:dyDescent="0.25">
      <c r="C1170" s="2"/>
      <c r="D1170" s="2"/>
    </row>
    <row r="1171" spans="3:4" x14ac:dyDescent="0.25">
      <c r="C1171" s="2"/>
      <c r="D1171" s="2"/>
    </row>
    <row r="1172" spans="3:4" x14ac:dyDescent="0.25">
      <c r="C1172" s="2"/>
      <c r="D1172" s="2"/>
    </row>
    <row r="1173" spans="3:4" x14ac:dyDescent="0.25">
      <c r="C1173" s="2"/>
      <c r="D1173" s="2"/>
    </row>
    <row r="1174" spans="3:4" x14ac:dyDescent="0.25">
      <c r="C1174" s="2"/>
      <c r="D1174" s="2"/>
    </row>
    <row r="1175" spans="3:4" x14ac:dyDescent="0.25">
      <c r="C1175" s="2"/>
      <c r="D1175" s="2"/>
    </row>
    <row r="1176" spans="3:4" x14ac:dyDescent="0.25">
      <c r="C1176" s="2"/>
      <c r="D1176" s="2"/>
    </row>
    <row r="1177" spans="3:4" x14ac:dyDescent="0.25">
      <c r="C1177" s="2"/>
      <c r="D1177" s="2"/>
    </row>
    <row r="1178" spans="3:4" x14ac:dyDescent="0.25">
      <c r="C1178" s="2"/>
      <c r="D1178" s="2"/>
    </row>
    <row r="1179" spans="3:4" x14ac:dyDescent="0.25">
      <c r="C1179" s="2"/>
      <c r="D1179" s="2"/>
    </row>
    <row r="1180" spans="3:4" x14ac:dyDescent="0.25">
      <c r="C1180" s="2"/>
      <c r="D1180" s="2"/>
    </row>
    <row r="1181" spans="3:4" x14ac:dyDescent="0.25">
      <c r="C1181" s="2"/>
      <c r="D1181" s="2"/>
    </row>
    <row r="1182" spans="3:4" x14ac:dyDescent="0.25">
      <c r="C1182" s="2"/>
      <c r="D1182" s="2"/>
    </row>
    <row r="1183" spans="3:4" x14ac:dyDescent="0.25">
      <c r="C1183" s="2"/>
      <c r="D1183" s="2"/>
    </row>
    <row r="1184" spans="3:4" x14ac:dyDescent="0.25">
      <c r="C1184" s="2"/>
      <c r="D1184" s="2"/>
    </row>
    <row r="1185" spans="3:4" x14ac:dyDescent="0.25">
      <c r="C1185" s="2"/>
      <c r="D1185" s="2"/>
    </row>
    <row r="1186" spans="3:4" x14ac:dyDescent="0.25">
      <c r="C1186" s="2"/>
      <c r="D1186" s="2"/>
    </row>
    <row r="1187" spans="3:4" x14ac:dyDescent="0.25">
      <c r="C1187" s="2"/>
      <c r="D1187" s="2"/>
    </row>
    <row r="1188" spans="3:4" x14ac:dyDescent="0.25">
      <c r="C1188" s="2"/>
      <c r="D1188" s="2"/>
    </row>
    <row r="1189" spans="3:4" x14ac:dyDescent="0.25">
      <c r="C1189" s="2"/>
      <c r="D1189" s="2"/>
    </row>
    <row r="1190" spans="3:4" x14ac:dyDescent="0.25">
      <c r="C1190" s="2"/>
      <c r="D1190" s="2"/>
    </row>
    <row r="1191" spans="3:4" x14ac:dyDescent="0.25">
      <c r="C1191" s="2"/>
      <c r="D1191" s="2"/>
    </row>
    <row r="1192" spans="3:4" x14ac:dyDescent="0.25">
      <c r="C1192" s="2"/>
      <c r="D1192" s="2"/>
    </row>
    <row r="1193" spans="3:4" x14ac:dyDescent="0.25">
      <c r="C1193" s="2"/>
      <c r="D1193" s="2"/>
    </row>
    <row r="1194" spans="3:4" x14ac:dyDescent="0.25">
      <c r="C1194" s="2"/>
      <c r="D1194" s="2"/>
    </row>
    <row r="1195" spans="3:4" x14ac:dyDescent="0.25">
      <c r="C1195" s="2"/>
      <c r="D1195" s="2"/>
    </row>
    <row r="1196" spans="3:4" x14ac:dyDescent="0.25">
      <c r="C1196" s="2"/>
      <c r="D1196" s="2"/>
    </row>
    <row r="1197" spans="3:4" x14ac:dyDescent="0.25">
      <c r="C1197" s="2"/>
      <c r="D1197" s="2"/>
    </row>
    <row r="1198" spans="3:4" x14ac:dyDescent="0.25">
      <c r="C1198" s="2"/>
      <c r="D1198" s="2"/>
    </row>
    <row r="1199" spans="3:4" x14ac:dyDescent="0.25">
      <c r="C1199" s="2"/>
      <c r="D1199" s="2"/>
    </row>
    <row r="1200" spans="3:4" x14ac:dyDescent="0.25">
      <c r="C1200" s="2"/>
      <c r="D1200" s="2"/>
    </row>
    <row r="1201" spans="3:4" x14ac:dyDescent="0.25">
      <c r="C1201" s="2"/>
      <c r="D1201" s="2"/>
    </row>
    <row r="1202" spans="3:4" x14ac:dyDescent="0.25">
      <c r="C1202" s="2"/>
      <c r="D1202" s="2"/>
    </row>
    <row r="1203" spans="3:4" x14ac:dyDescent="0.25">
      <c r="C1203" s="2"/>
      <c r="D1203" s="2"/>
    </row>
    <row r="1204" spans="3:4" x14ac:dyDescent="0.25">
      <c r="C1204" s="2"/>
      <c r="D1204" s="2"/>
    </row>
    <row r="1205" spans="3:4" x14ac:dyDescent="0.25">
      <c r="C1205" s="2"/>
      <c r="D1205" s="2"/>
    </row>
    <row r="1206" spans="3:4" x14ac:dyDescent="0.25">
      <c r="C1206" s="2"/>
      <c r="D1206" s="2"/>
    </row>
    <row r="1207" spans="3:4" x14ac:dyDescent="0.25">
      <c r="C1207" s="2"/>
      <c r="D1207" s="2"/>
    </row>
    <row r="1208" spans="3:4" x14ac:dyDescent="0.25">
      <c r="C1208" s="2"/>
      <c r="D1208" s="2"/>
    </row>
    <row r="1209" spans="3:4" x14ac:dyDescent="0.25">
      <c r="C1209" s="2"/>
      <c r="D1209" s="2"/>
    </row>
    <row r="1210" spans="3:4" x14ac:dyDescent="0.25">
      <c r="C1210" s="2"/>
      <c r="D1210" s="2"/>
    </row>
    <row r="1211" spans="3:4" x14ac:dyDescent="0.25">
      <c r="C1211" s="2"/>
      <c r="D1211" s="2"/>
    </row>
    <row r="1212" spans="3:4" x14ac:dyDescent="0.25">
      <c r="C1212" s="2"/>
      <c r="D1212" s="2"/>
    </row>
    <row r="1213" spans="3:4" x14ac:dyDescent="0.25">
      <c r="C1213" s="2"/>
      <c r="D1213" s="2"/>
    </row>
    <row r="1214" spans="3:4" x14ac:dyDescent="0.25">
      <c r="C1214" s="2"/>
      <c r="D1214" s="2"/>
    </row>
    <row r="1215" spans="3:4" x14ac:dyDescent="0.25">
      <c r="C1215" s="2"/>
      <c r="D1215" s="2"/>
    </row>
    <row r="1216" spans="3:4" x14ac:dyDescent="0.25">
      <c r="C1216" s="2"/>
      <c r="D1216" s="2"/>
    </row>
    <row r="1217" spans="3:4" x14ac:dyDescent="0.25">
      <c r="C1217" s="2"/>
      <c r="D1217" s="2"/>
    </row>
    <row r="1218" spans="3:4" x14ac:dyDescent="0.25">
      <c r="C1218" s="2"/>
      <c r="D1218" s="2"/>
    </row>
    <row r="1219" spans="3:4" x14ac:dyDescent="0.25">
      <c r="C1219" s="2"/>
      <c r="D1219" s="2"/>
    </row>
    <row r="1220" spans="3:4" x14ac:dyDescent="0.25">
      <c r="C1220" s="2"/>
      <c r="D1220" s="2"/>
    </row>
    <row r="1221" spans="3:4" x14ac:dyDescent="0.25">
      <c r="C1221" s="2"/>
      <c r="D1221" s="2"/>
    </row>
    <row r="1222" spans="3:4" x14ac:dyDescent="0.25">
      <c r="C1222" s="2"/>
      <c r="D1222" s="2"/>
    </row>
    <row r="1223" spans="3:4" x14ac:dyDescent="0.25">
      <c r="C1223" s="2"/>
      <c r="D1223" s="2"/>
    </row>
    <row r="1224" spans="3:4" x14ac:dyDescent="0.25">
      <c r="C1224" s="2"/>
      <c r="D1224" s="2"/>
    </row>
    <row r="1225" spans="3:4" x14ac:dyDescent="0.25">
      <c r="C1225" s="2"/>
      <c r="D1225" s="2"/>
    </row>
    <row r="1226" spans="3:4" x14ac:dyDescent="0.25">
      <c r="C1226" s="2"/>
      <c r="D1226" s="2"/>
    </row>
    <row r="1227" spans="3:4" x14ac:dyDescent="0.25">
      <c r="C1227" s="2"/>
      <c r="D1227" s="2"/>
    </row>
    <row r="1228" spans="3:4" x14ac:dyDescent="0.25">
      <c r="C1228" s="2"/>
      <c r="D1228" s="2"/>
    </row>
    <row r="1229" spans="3:4" x14ac:dyDescent="0.25">
      <c r="C1229" s="2"/>
      <c r="D1229" s="2"/>
    </row>
    <row r="1230" spans="3:4" x14ac:dyDescent="0.25">
      <c r="C1230" s="2"/>
      <c r="D1230" s="2"/>
    </row>
    <row r="1231" spans="3:4" x14ac:dyDescent="0.25">
      <c r="C1231" s="2"/>
      <c r="D1231" s="2"/>
    </row>
    <row r="1232" spans="3:4" x14ac:dyDescent="0.25">
      <c r="C1232" s="2"/>
      <c r="D1232" s="2"/>
    </row>
    <row r="1233" spans="3:4" x14ac:dyDescent="0.25">
      <c r="C1233" s="2"/>
      <c r="D1233" s="2"/>
    </row>
    <row r="1234" spans="3:4" x14ac:dyDescent="0.25">
      <c r="C1234" s="2"/>
      <c r="D1234" s="2"/>
    </row>
    <row r="1235" spans="3:4" x14ac:dyDescent="0.25">
      <c r="C1235" s="2"/>
      <c r="D1235" s="2"/>
    </row>
    <row r="1236" spans="3:4" x14ac:dyDescent="0.25">
      <c r="C1236" s="2"/>
      <c r="D1236" s="2"/>
    </row>
    <row r="1237" spans="3:4" x14ac:dyDescent="0.25">
      <c r="C1237" s="2"/>
      <c r="D1237" s="2"/>
    </row>
    <row r="1238" spans="3:4" x14ac:dyDescent="0.25">
      <c r="C1238" s="2"/>
      <c r="D1238" s="2"/>
    </row>
    <row r="1239" spans="3:4" x14ac:dyDescent="0.25">
      <c r="C1239" s="2"/>
      <c r="D1239" s="2"/>
    </row>
    <row r="1240" spans="3:4" x14ac:dyDescent="0.25">
      <c r="C1240" s="2"/>
      <c r="D1240" s="2"/>
    </row>
    <row r="1241" spans="3:4" x14ac:dyDescent="0.25">
      <c r="C1241" s="2"/>
      <c r="D1241" s="2"/>
    </row>
    <row r="1242" spans="3:4" x14ac:dyDescent="0.25">
      <c r="C1242" s="2"/>
      <c r="D1242" s="2"/>
    </row>
    <row r="1243" spans="3:4" x14ac:dyDescent="0.25">
      <c r="C1243" s="2"/>
      <c r="D1243" s="2"/>
    </row>
    <row r="1244" spans="3:4" x14ac:dyDescent="0.25">
      <c r="C1244" s="2"/>
      <c r="D1244" s="2"/>
    </row>
    <row r="1245" spans="3:4" x14ac:dyDescent="0.25">
      <c r="C1245" s="2"/>
      <c r="D1245" s="2"/>
    </row>
    <row r="1246" spans="3:4" x14ac:dyDescent="0.25">
      <c r="C1246" s="2"/>
      <c r="D1246" s="2"/>
    </row>
    <row r="1247" spans="3:4" x14ac:dyDescent="0.25">
      <c r="C1247" s="2"/>
      <c r="D1247" s="2"/>
    </row>
    <row r="1248" spans="3:4" x14ac:dyDescent="0.25">
      <c r="C1248" s="2"/>
      <c r="D1248" s="2"/>
    </row>
    <row r="1249" spans="3:4" x14ac:dyDescent="0.25">
      <c r="C1249" s="2"/>
      <c r="D1249" s="2"/>
    </row>
    <row r="1250" spans="3:4" x14ac:dyDescent="0.25">
      <c r="C1250" s="2"/>
      <c r="D1250" s="2"/>
    </row>
    <row r="1251" spans="3:4" x14ac:dyDescent="0.25">
      <c r="C1251" s="2"/>
      <c r="D1251" s="2"/>
    </row>
    <row r="1252" spans="3:4" x14ac:dyDescent="0.25">
      <c r="C1252" s="2"/>
      <c r="D1252" s="2"/>
    </row>
    <row r="1253" spans="3:4" x14ac:dyDescent="0.25">
      <c r="C1253" s="2"/>
      <c r="D1253" s="2"/>
    </row>
    <row r="1254" spans="3:4" x14ac:dyDescent="0.25">
      <c r="C1254" s="2"/>
      <c r="D1254" s="2"/>
    </row>
    <row r="1255" spans="3:4" x14ac:dyDescent="0.25">
      <c r="C1255" s="2"/>
      <c r="D1255" s="2"/>
    </row>
    <row r="1256" spans="3:4" x14ac:dyDescent="0.25">
      <c r="C1256" s="2"/>
      <c r="D1256" s="2"/>
    </row>
    <row r="1257" spans="3:4" x14ac:dyDescent="0.25">
      <c r="C1257" s="2"/>
      <c r="D1257" s="2"/>
    </row>
    <row r="1258" spans="3:4" x14ac:dyDescent="0.25">
      <c r="C1258" s="2"/>
      <c r="D1258" s="2"/>
    </row>
    <row r="1259" spans="3:4" x14ac:dyDescent="0.25">
      <c r="C1259" s="2"/>
      <c r="D1259" s="2"/>
    </row>
    <row r="1260" spans="3:4" x14ac:dyDescent="0.25">
      <c r="C1260" s="2"/>
      <c r="D1260" s="2"/>
    </row>
    <row r="1261" spans="3:4" x14ac:dyDescent="0.25">
      <c r="C1261" s="2"/>
      <c r="D1261" s="2"/>
    </row>
    <row r="1262" spans="3:4" x14ac:dyDescent="0.25">
      <c r="C1262" s="2"/>
      <c r="D1262" s="2"/>
    </row>
    <row r="1263" spans="3:4" x14ac:dyDescent="0.25">
      <c r="C1263" s="2"/>
      <c r="D1263" s="2"/>
    </row>
    <row r="1264" spans="3:4" x14ac:dyDescent="0.25">
      <c r="C1264" s="2"/>
      <c r="D1264" s="2"/>
    </row>
    <row r="1265" spans="3:4" x14ac:dyDescent="0.25">
      <c r="C1265" s="2"/>
      <c r="D1265" s="2"/>
    </row>
    <row r="1266" spans="3:4" x14ac:dyDescent="0.25">
      <c r="C1266" s="2"/>
      <c r="D1266" s="2"/>
    </row>
    <row r="1267" spans="3:4" x14ac:dyDescent="0.25">
      <c r="C1267" s="2"/>
      <c r="D1267" s="2"/>
    </row>
    <row r="1268" spans="3:4" x14ac:dyDescent="0.25">
      <c r="C1268" s="2"/>
      <c r="D1268" s="2"/>
    </row>
    <row r="1269" spans="3:4" x14ac:dyDescent="0.25">
      <c r="C1269" s="2"/>
      <c r="D1269" s="2"/>
    </row>
    <row r="1270" spans="3:4" x14ac:dyDescent="0.25">
      <c r="C1270" s="2"/>
      <c r="D1270" s="2"/>
    </row>
    <row r="1271" spans="3:4" x14ac:dyDescent="0.25">
      <c r="C1271" s="2"/>
      <c r="D1271" s="2"/>
    </row>
    <row r="1272" spans="3:4" x14ac:dyDescent="0.25">
      <c r="C1272" s="2"/>
      <c r="D1272" s="2"/>
    </row>
    <row r="1273" spans="3:4" x14ac:dyDescent="0.25">
      <c r="C1273" s="2"/>
      <c r="D1273" s="2"/>
    </row>
    <row r="1274" spans="3:4" x14ac:dyDescent="0.25">
      <c r="C1274" s="2"/>
      <c r="D1274" s="2"/>
    </row>
    <row r="1275" spans="3:4" x14ac:dyDescent="0.25">
      <c r="C1275" s="2"/>
      <c r="D1275" s="2"/>
    </row>
    <row r="1276" spans="3:4" x14ac:dyDescent="0.25">
      <c r="C1276" s="2"/>
      <c r="D1276" s="2"/>
    </row>
    <row r="1277" spans="3:4" x14ac:dyDescent="0.25">
      <c r="C1277" s="2"/>
      <c r="D1277" s="2"/>
    </row>
    <row r="1278" spans="3:4" x14ac:dyDescent="0.25">
      <c r="C1278" s="2"/>
      <c r="D1278" s="2"/>
    </row>
    <row r="1279" spans="3:4" x14ac:dyDescent="0.25">
      <c r="C1279" s="2"/>
      <c r="D1279" s="2"/>
    </row>
    <row r="1280" spans="3:4" x14ac:dyDescent="0.25">
      <c r="C1280" s="2"/>
      <c r="D1280" s="2"/>
    </row>
    <row r="1281" spans="3:4" x14ac:dyDescent="0.25">
      <c r="C1281" s="2"/>
      <c r="D1281" s="2"/>
    </row>
    <row r="1282" spans="3:4" x14ac:dyDescent="0.25">
      <c r="C1282" s="2"/>
      <c r="D1282" s="2"/>
    </row>
    <row r="1283" spans="3:4" x14ac:dyDescent="0.25">
      <c r="C1283" s="2"/>
      <c r="D1283" s="2"/>
    </row>
    <row r="1284" spans="3:4" x14ac:dyDescent="0.25">
      <c r="C1284" s="2"/>
      <c r="D1284" s="2"/>
    </row>
    <row r="1285" spans="3:4" x14ac:dyDescent="0.25">
      <c r="C1285" s="2"/>
      <c r="D1285" s="2"/>
    </row>
    <row r="1286" spans="3:4" x14ac:dyDescent="0.25">
      <c r="C1286" s="2"/>
      <c r="D1286" s="2"/>
    </row>
    <row r="1287" spans="3:4" x14ac:dyDescent="0.25">
      <c r="C1287" s="2"/>
      <c r="D1287" s="2"/>
    </row>
    <row r="1288" spans="3:4" x14ac:dyDescent="0.25">
      <c r="C1288" s="2"/>
      <c r="D1288" s="2"/>
    </row>
    <row r="1289" spans="3:4" x14ac:dyDescent="0.25">
      <c r="C1289" s="2"/>
      <c r="D1289" s="2"/>
    </row>
    <row r="1290" spans="3:4" x14ac:dyDescent="0.25">
      <c r="C1290" s="2"/>
      <c r="D1290" s="2"/>
    </row>
    <row r="1291" spans="3:4" x14ac:dyDescent="0.25">
      <c r="C1291" s="2"/>
      <c r="D1291" s="2"/>
    </row>
    <row r="1292" spans="3:4" x14ac:dyDescent="0.25">
      <c r="C1292" s="2"/>
      <c r="D1292" s="2"/>
    </row>
    <row r="1293" spans="3:4" x14ac:dyDescent="0.25">
      <c r="C1293" s="2"/>
      <c r="D1293" s="2"/>
    </row>
    <row r="1294" spans="3:4" x14ac:dyDescent="0.25">
      <c r="C1294" s="2"/>
      <c r="D1294" s="2"/>
    </row>
    <row r="1295" spans="3:4" x14ac:dyDescent="0.25">
      <c r="C1295" s="2"/>
      <c r="D1295" s="2"/>
    </row>
    <row r="1296" spans="3:4" x14ac:dyDescent="0.25">
      <c r="C1296" s="2"/>
      <c r="D1296" s="2"/>
    </row>
    <row r="1297" spans="3:4" x14ac:dyDescent="0.25">
      <c r="C1297" s="2"/>
      <c r="D1297" s="2"/>
    </row>
    <row r="1298" spans="3:4" x14ac:dyDescent="0.25">
      <c r="C1298" s="2"/>
      <c r="D1298" s="2"/>
    </row>
    <row r="1299" spans="3:4" x14ac:dyDescent="0.25">
      <c r="C1299" s="2"/>
      <c r="D1299" s="2"/>
    </row>
    <row r="1300" spans="3:4" x14ac:dyDescent="0.25">
      <c r="C1300" s="2"/>
      <c r="D1300" s="2"/>
    </row>
    <row r="1301" spans="3:4" x14ac:dyDescent="0.25">
      <c r="C1301" s="2"/>
      <c r="D1301" s="2"/>
    </row>
    <row r="1302" spans="3:4" x14ac:dyDescent="0.25">
      <c r="C1302" s="2"/>
      <c r="D1302" s="2"/>
    </row>
    <row r="1303" spans="3:4" x14ac:dyDescent="0.25">
      <c r="C1303" s="2"/>
      <c r="D1303" s="2"/>
    </row>
    <row r="1304" spans="3:4" x14ac:dyDescent="0.25">
      <c r="C1304" s="2"/>
      <c r="D1304" s="2"/>
    </row>
    <row r="1305" spans="3:4" x14ac:dyDescent="0.25">
      <c r="C1305" s="2"/>
      <c r="D1305" s="2"/>
    </row>
    <row r="1306" spans="3:4" x14ac:dyDescent="0.25">
      <c r="C1306" s="2"/>
      <c r="D1306" s="2"/>
    </row>
    <row r="1307" spans="3:4" x14ac:dyDescent="0.25">
      <c r="C1307" s="2"/>
      <c r="D1307" s="2"/>
    </row>
    <row r="1308" spans="3:4" x14ac:dyDescent="0.25">
      <c r="C1308" s="2"/>
      <c r="D1308" s="2"/>
    </row>
    <row r="1309" spans="3:4" x14ac:dyDescent="0.25">
      <c r="C1309" s="2"/>
      <c r="D1309" s="2"/>
    </row>
    <row r="1310" spans="3:4" x14ac:dyDescent="0.25">
      <c r="C1310" s="2"/>
      <c r="D1310" s="2"/>
    </row>
    <row r="1311" spans="3:4" x14ac:dyDescent="0.25">
      <c r="C1311" s="2"/>
      <c r="D1311" s="2"/>
    </row>
    <row r="1312" spans="3:4" x14ac:dyDescent="0.25">
      <c r="C1312" s="2"/>
      <c r="D1312" s="2"/>
    </row>
    <row r="1313" spans="3:4" x14ac:dyDescent="0.25">
      <c r="C1313" s="2"/>
      <c r="D1313" s="2"/>
    </row>
    <row r="1314" spans="3:4" x14ac:dyDescent="0.25">
      <c r="C1314" s="2"/>
      <c r="D1314" s="2"/>
    </row>
    <row r="1315" spans="3:4" x14ac:dyDescent="0.25">
      <c r="C1315" s="2"/>
      <c r="D1315" s="2"/>
    </row>
    <row r="1316" spans="3:4" x14ac:dyDescent="0.25">
      <c r="C1316" s="2"/>
      <c r="D1316" s="2"/>
    </row>
    <row r="1317" spans="3:4" x14ac:dyDescent="0.25">
      <c r="C1317" s="2"/>
      <c r="D1317" s="2"/>
    </row>
    <row r="1318" spans="3:4" x14ac:dyDescent="0.25">
      <c r="C1318" s="2"/>
      <c r="D1318" s="2"/>
    </row>
    <row r="1319" spans="3:4" x14ac:dyDescent="0.25">
      <c r="C1319" s="2"/>
      <c r="D1319" s="2"/>
    </row>
    <row r="1320" spans="3:4" x14ac:dyDescent="0.25">
      <c r="C1320" s="2"/>
      <c r="D1320" s="2"/>
    </row>
    <row r="1321" spans="3:4" x14ac:dyDescent="0.25">
      <c r="C1321" s="2"/>
      <c r="D1321" s="2"/>
    </row>
    <row r="1322" spans="3:4" x14ac:dyDescent="0.25">
      <c r="C1322" s="2"/>
      <c r="D1322" s="2"/>
    </row>
    <row r="1323" spans="3:4" x14ac:dyDescent="0.25">
      <c r="C1323" s="2"/>
      <c r="D1323" s="2"/>
    </row>
    <row r="1324" spans="3:4" x14ac:dyDescent="0.25">
      <c r="C1324" s="2"/>
      <c r="D1324" s="2"/>
    </row>
    <row r="1325" spans="3:4" x14ac:dyDescent="0.25">
      <c r="C1325" s="2"/>
      <c r="D1325" s="2"/>
    </row>
    <row r="1326" spans="3:4" x14ac:dyDescent="0.25">
      <c r="C1326" s="2"/>
      <c r="D1326" s="2"/>
    </row>
    <row r="1327" spans="3:4" x14ac:dyDescent="0.25">
      <c r="C1327" s="2"/>
      <c r="D1327" s="2"/>
    </row>
    <row r="1328" spans="3:4" x14ac:dyDescent="0.25">
      <c r="C1328" s="2"/>
      <c r="D1328" s="2"/>
    </row>
    <row r="1329" spans="3:4" x14ac:dyDescent="0.25">
      <c r="C1329" s="2"/>
      <c r="D1329" s="2"/>
    </row>
    <row r="1330" spans="3:4" x14ac:dyDescent="0.25">
      <c r="C1330" s="2"/>
      <c r="D1330" s="2"/>
    </row>
    <row r="1331" spans="3:4" x14ac:dyDescent="0.25">
      <c r="C1331" s="2"/>
      <c r="D1331" s="2"/>
    </row>
    <row r="1332" spans="3:4" x14ac:dyDescent="0.25">
      <c r="C1332" s="2"/>
      <c r="D1332" s="2"/>
    </row>
    <row r="1333" spans="3:4" x14ac:dyDescent="0.25">
      <c r="C1333" s="2"/>
      <c r="D1333" s="2"/>
    </row>
    <row r="1334" spans="3:4" x14ac:dyDescent="0.25">
      <c r="C1334" s="2"/>
      <c r="D1334" s="2"/>
    </row>
    <row r="1335" spans="3:4" x14ac:dyDescent="0.25">
      <c r="C1335" s="2"/>
      <c r="D1335" s="2"/>
    </row>
    <row r="1336" spans="3:4" x14ac:dyDescent="0.25">
      <c r="C1336" s="2"/>
      <c r="D1336" s="2"/>
    </row>
    <row r="1337" spans="3:4" x14ac:dyDescent="0.25">
      <c r="C1337" s="2"/>
      <c r="D1337" s="2"/>
    </row>
    <row r="1338" spans="3:4" x14ac:dyDescent="0.25">
      <c r="C1338" s="2"/>
      <c r="D1338" s="2"/>
    </row>
    <row r="1339" spans="3:4" x14ac:dyDescent="0.25">
      <c r="C1339" s="2"/>
      <c r="D1339" s="2"/>
    </row>
    <row r="1340" spans="3:4" x14ac:dyDescent="0.25">
      <c r="C1340" s="2"/>
      <c r="D1340" s="2"/>
    </row>
    <row r="1341" spans="3:4" x14ac:dyDescent="0.25">
      <c r="C1341" s="2"/>
      <c r="D1341" s="2"/>
    </row>
    <row r="1342" spans="3:4" x14ac:dyDescent="0.25">
      <c r="C1342" s="2"/>
      <c r="D1342" s="2"/>
    </row>
    <row r="1343" spans="3:4" x14ac:dyDescent="0.25">
      <c r="C1343" s="2"/>
      <c r="D1343" s="2"/>
    </row>
    <row r="1344" spans="3:4" x14ac:dyDescent="0.25">
      <c r="C1344" s="2"/>
      <c r="D1344" s="2"/>
    </row>
    <row r="1345" spans="3:4" x14ac:dyDescent="0.25">
      <c r="C1345" s="2"/>
      <c r="D1345" s="2"/>
    </row>
    <row r="1346" spans="3:4" x14ac:dyDescent="0.25">
      <c r="C1346" s="2"/>
      <c r="D1346" s="2"/>
    </row>
    <row r="1347" spans="3:4" x14ac:dyDescent="0.25">
      <c r="C1347" s="2"/>
      <c r="D1347" s="2"/>
    </row>
    <row r="1348" spans="3:4" x14ac:dyDescent="0.25">
      <c r="C1348" s="2"/>
      <c r="D1348" s="2"/>
    </row>
    <row r="1349" spans="3:4" x14ac:dyDescent="0.25">
      <c r="C1349" s="2"/>
      <c r="D1349" s="2"/>
    </row>
    <row r="1350" spans="3:4" x14ac:dyDescent="0.25">
      <c r="C1350" s="2"/>
      <c r="D1350" s="2"/>
    </row>
    <row r="1351" spans="3:4" x14ac:dyDescent="0.25">
      <c r="C1351" s="2"/>
      <c r="D1351" s="2"/>
    </row>
    <row r="1352" spans="3:4" x14ac:dyDescent="0.25">
      <c r="C1352" s="2"/>
      <c r="D1352" s="2"/>
    </row>
    <row r="1353" spans="3:4" x14ac:dyDescent="0.25">
      <c r="C1353" s="2"/>
      <c r="D1353" s="2"/>
    </row>
    <row r="1354" spans="3:4" x14ac:dyDescent="0.25">
      <c r="C1354" s="2"/>
      <c r="D1354" s="2"/>
    </row>
    <row r="1355" spans="3:4" x14ac:dyDescent="0.25">
      <c r="C1355" s="2"/>
      <c r="D1355" s="2"/>
    </row>
    <row r="1356" spans="3:4" x14ac:dyDescent="0.25">
      <c r="C1356" s="2"/>
      <c r="D1356" s="2"/>
    </row>
    <row r="1357" spans="3:4" x14ac:dyDescent="0.25">
      <c r="C1357" s="2"/>
      <c r="D1357" s="2"/>
    </row>
    <row r="1358" spans="3:4" x14ac:dyDescent="0.25">
      <c r="C1358" s="2"/>
      <c r="D1358" s="2"/>
    </row>
    <row r="1359" spans="3:4" x14ac:dyDescent="0.25">
      <c r="C1359" s="2"/>
      <c r="D1359" s="2"/>
    </row>
    <row r="1360" spans="3:4" x14ac:dyDescent="0.25">
      <c r="C1360" s="2"/>
      <c r="D1360" s="2"/>
    </row>
    <row r="1361" spans="3:4" x14ac:dyDescent="0.25">
      <c r="C1361" s="2"/>
      <c r="D1361" s="2"/>
    </row>
    <row r="1362" spans="3:4" x14ac:dyDescent="0.25">
      <c r="C1362" s="2"/>
      <c r="D1362" s="2"/>
    </row>
    <row r="1363" spans="3:4" x14ac:dyDescent="0.25">
      <c r="C1363" s="2"/>
      <c r="D1363" s="2"/>
    </row>
    <row r="1364" spans="3:4" x14ac:dyDescent="0.25">
      <c r="C1364" s="2"/>
      <c r="D1364" s="2"/>
    </row>
    <row r="1365" spans="3:4" x14ac:dyDescent="0.25">
      <c r="C1365" s="2"/>
      <c r="D1365" s="2"/>
    </row>
    <row r="1366" spans="3:4" x14ac:dyDescent="0.25">
      <c r="C1366" s="2"/>
      <c r="D1366" s="2"/>
    </row>
    <row r="1367" spans="3:4" x14ac:dyDescent="0.25">
      <c r="C1367" s="2"/>
      <c r="D1367" s="2"/>
    </row>
    <row r="1368" spans="3:4" x14ac:dyDescent="0.25">
      <c r="C1368" s="2"/>
      <c r="D1368" s="2"/>
    </row>
    <row r="1369" spans="3:4" x14ac:dyDescent="0.25">
      <c r="C1369" s="2"/>
      <c r="D1369" s="2"/>
    </row>
    <row r="1370" spans="3:4" x14ac:dyDescent="0.25">
      <c r="C1370" s="2"/>
      <c r="D1370" s="2"/>
    </row>
    <row r="1371" spans="3:4" x14ac:dyDescent="0.25">
      <c r="C1371" s="2"/>
      <c r="D1371" s="2"/>
    </row>
    <row r="1372" spans="3:4" x14ac:dyDescent="0.25">
      <c r="C1372" s="2"/>
      <c r="D1372" s="2"/>
    </row>
    <row r="1373" spans="3:4" x14ac:dyDescent="0.25">
      <c r="C1373" s="2"/>
      <c r="D1373" s="2"/>
    </row>
    <row r="1374" spans="3:4" x14ac:dyDescent="0.25">
      <c r="C1374" s="2"/>
      <c r="D1374" s="2"/>
    </row>
    <row r="1375" spans="3:4" x14ac:dyDescent="0.25">
      <c r="C1375" s="2"/>
      <c r="D1375" s="2"/>
    </row>
    <row r="1376" spans="3:4" x14ac:dyDescent="0.25">
      <c r="C1376" s="2"/>
      <c r="D1376" s="2"/>
    </row>
    <row r="1377" spans="3:4" x14ac:dyDescent="0.25">
      <c r="C1377" s="2"/>
      <c r="D1377" s="2"/>
    </row>
    <row r="1378" spans="3:4" x14ac:dyDescent="0.25">
      <c r="C1378" s="2"/>
      <c r="D1378" s="2"/>
    </row>
    <row r="1379" spans="3:4" x14ac:dyDescent="0.25">
      <c r="C1379" s="2"/>
      <c r="D1379" s="2"/>
    </row>
    <row r="1380" spans="3:4" x14ac:dyDescent="0.25">
      <c r="C1380" s="2"/>
      <c r="D1380" s="2"/>
    </row>
    <row r="1381" spans="3:4" x14ac:dyDescent="0.25">
      <c r="C1381" s="2"/>
      <c r="D1381" s="2"/>
    </row>
    <row r="1382" spans="3:4" x14ac:dyDescent="0.25">
      <c r="C1382" s="2"/>
      <c r="D1382" s="2"/>
    </row>
    <row r="1383" spans="3:4" x14ac:dyDescent="0.25">
      <c r="C1383" s="2"/>
      <c r="D1383" s="2"/>
    </row>
    <row r="1384" spans="3:4" x14ac:dyDescent="0.25">
      <c r="C1384" s="2"/>
      <c r="D1384" s="2"/>
    </row>
    <row r="1385" spans="3:4" x14ac:dyDescent="0.25">
      <c r="C1385" s="2"/>
      <c r="D1385" s="2"/>
    </row>
    <row r="1386" spans="3:4" x14ac:dyDescent="0.25">
      <c r="C1386" s="2"/>
      <c r="D1386" s="2"/>
    </row>
    <row r="1387" spans="3:4" x14ac:dyDescent="0.25">
      <c r="C1387" s="2"/>
      <c r="D1387" s="2"/>
    </row>
    <row r="1388" spans="3:4" x14ac:dyDescent="0.25">
      <c r="C1388" s="2"/>
      <c r="D1388" s="2"/>
    </row>
    <row r="1389" spans="3:4" x14ac:dyDescent="0.25">
      <c r="C1389" s="2"/>
      <c r="D1389" s="2"/>
    </row>
    <row r="1390" spans="3:4" x14ac:dyDescent="0.25">
      <c r="C1390" s="2"/>
      <c r="D1390" s="2"/>
    </row>
    <row r="1391" spans="3:4" x14ac:dyDescent="0.25">
      <c r="C1391" s="2"/>
      <c r="D1391" s="2"/>
    </row>
    <row r="1392" spans="3:4" x14ac:dyDescent="0.25">
      <c r="C1392" s="2"/>
      <c r="D1392" s="2"/>
    </row>
    <row r="1393" spans="3:4" x14ac:dyDescent="0.25">
      <c r="C1393" s="2"/>
      <c r="D1393" s="2"/>
    </row>
    <row r="1394" spans="3:4" x14ac:dyDescent="0.25">
      <c r="C1394" s="2"/>
      <c r="D1394" s="2"/>
    </row>
    <row r="1395" spans="3:4" x14ac:dyDescent="0.25">
      <c r="C1395" s="2"/>
      <c r="D1395" s="2"/>
    </row>
    <row r="1396" spans="3:4" x14ac:dyDescent="0.25">
      <c r="C1396" s="2"/>
      <c r="D1396" s="2"/>
    </row>
    <row r="1397" spans="3:4" x14ac:dyDescent="0.25">
      <c r="C1397" s="2"/>
      <c r="D1397" s="2"/>
    </row>
    <row r="1398" spans="3:4" x14ac:dyDescent="0.25">
      <c r="C1398" s="2"/>
      <c r="D1398" s="2"/>
    </row>
    <row r="1399" spans="3:4" x14ac:dyDescent="0.25">
      <c r="C1399" s="2"/>
      <c r="D1399" s="2"/>
    </row>
    <row r="1400" spans="3:4" x14ac:dyDescent="0.25">
      <c r="C1400" s="2"/>
      <c r="D1400" s="2"/>
    </row>
    <row r="1401" spans="3:4" x14ac:dyDescent="0.25">
      <c r="C1401" s="2"/>
      <c r="D1401" s="2"/>
    </row>
    <row r="1402" spans="3:4" x14ac:dyDescent="0.25">
      <c r="C1402" s="2"/>
      <c r="D1402" s="2"/>
    </row>
    <row r="1403" spans="3:4" x14ac:dyDescent="0.25">
      <c r="C1403" s="2"/>
      <c r="D1403" s="2"/>
    </row>
    <row r="1404" spans="3:4" x14ac:dyDescent="0.25">
      <c r="C1404" s="2"/>
      <c r="D1404" s="2"/>
    </row>
    <row r="1405" spans="3:4" x14ac:dyDescent="0.25">
      <c r="C1405" s="2"/>
      <c r="D1405" s="2"/>
    </row>
    <row r="1406" spans="3:4" x14ac:dyDescent="0.25">
      <c r="C1406" s="2"/>
      <c r="D1406" s="2"/>
    </row>
    <row r="1407" spans="3:4" x14ac:dyDescent="0.25">
      <c r="C1407" s="2"/>
      <c r="D1407" s="2"/>
    </row>
    <row r="1408" spans="3:4" x14ac:dyDescent="0.25">
      <c r="C1408" s="2"/>
      <c r="D1408" s="2"/>
    </row>
    <row r="1409" spans="3:4" x14ac:dyDescent="0.25">
      <c r="C1409" s="2"/>
      <c r="D1409" s="2"/>
    </row>
    <row r="1410" spans="3:4" x14ac:dyDescent="0.25">
      <c r="C1410" s="2"/>
      <c r="D1410" s="2"/>
    </row>
    <row r="1411" spans="3:4" x14ac:dyDescent="0.25">
      <c r="C1411" s="2"/>
      <c r="D1411" s="2"/>
    </row>
    <row r="1412" spans="3:4" x14ac:dyDescent="0.25">
      <c r="C1412" s="2"/>
      <c r="D1412" s="2"/>
    </row>
    <row r="1413" spans="3:4" x14ac:dyDescent="0.25">
      <c r="C1413" s="2"/>
      <c r="D1413" s="2"/>
    </row>
    <row r="1414" spans="3:4" x14ac:dyDescent="0.25">
      <c r="C1414" s="2"/>
      <c r="D1414" s="2"/>
    </row>
    <row r="1415" spans="3:4" x14ac:dyDescent="0.25">
      <c r="C1415" s="2"/>
      <c r="D1415" s="2"/>
    </row>
    <row r="1416" spans="3:4" x14ac:dyDescent="0.25">
      <c r="C1416" s="2"/>
      <c r="D1416" s="2"/>
    </row>
    <row r="1417" spans="3:4" x14ac:dyDescent="0.25">
      <c r="C1417" s="2"/>
      <c r="D1417" s="2"/>
    </row>
    <row r="1418" spans="3:4" x14ac:dyDescent="0.25">
      <c r="C1418" s="2"/>
      <c r="D1418" s="2"/>
    </row>
    <row r="1419" spans="3:4" x14ac:dyDescent="0.25">
      <c r="C1419" s="2"/>
      <c r="D1419" s="2"/>
    </row>
    <row r="1420" spans="3:4" x14ac:dyDescent="0.25">
      <c r="C1420" s="2"/>
      <c r="D1420" s="2"/>
    </row>
    <row r="1421" spans="3:4" x14ac:dyDescent="0.25">
      <c r="C1421" s="2"/>
      <c r="D1421" s="2"/>
    </row>
    <row r="1422" spans="3:4" x14ac:dyDescent="0.25">
      <c r="C1422" s="2"/>
      <c r="D1422" s="2"/>
    </row>
    <row r="1423" spans="3:4" x14ac:dyDescent="0.25">
      <c r="C1423" s="2"/>
      <c r="D1423" s="2"/>
    </row>
    <row r="1424" spans="3:4" x14ac:dyDescent="0.25">
      <c r="C1424" s="2"/>
      <c r="D1424" s="2"/>
    </row>
    <row r="1425" spans="3:4" x14ac:dyDescent="0.25">
      <c r="C1425" s="2"/>
      <c r="D1425" s="2"/>
    </row>
    <row r="1426" spans="3:4" x14ac:dyDescent="0.25">
      <c r="C1426" s="2"/>
      <c r="D1426" s="2"/>
    </row>
    <row r="1427" spans="3:4" x14ac:dyDescent="0.25">
      <c r="C1427" s="2"/>
      <c r="D1427" s="2"/>
    </row>
    <row r="1428" spans="3:4" x14ac:dyDescent="0.25">
      <c r="C1428" s="2"/>
      <c r="D1428" s="2"/>
    </row>
    <row r="1429" spans="3:4" x14ac:dyDescent="0.25">
      <c r="C1429" s="2"/>
      <c r="D1429" s="2"/>
    </row>
    <row r="1430" spans="3:4" x14ac:dyDescent="0.25">
      <c r="C1430" s="2"/>
      <c r="D1430" s="2"/>
    </row>
    <row r="1431" spans="3:4" x14ac:dyDescent="0.25">
      <c r="C1431" s="2"/>
      <c r="D1431" s="2"/>
    </row>
    <row r="1432" spans="3:4" x14ac:dyDescent="0.25">
      <c r="C1432" s="2"/>
      <c r="D1432" s="2"/>
    </row>
    <row r="1433" spans="3:4" x14ac:dyDescent="0.25">
      <c r="C1433" s="2"/>
      <c r="D1433" s="2"/>
    </row>
    <row r="1434" spans="3:4" x14ac:dyDescent="0.25">
      <c r="C1434" s="2"/>
      <c r="D1434" s="2"/>
    </row>
    <row r="1435" spans="3:4" x14ac:dyDescent="0.25">
      <c r="C1435" s="2"/>
      <c r="D1435" s="2"/>
    </row>
    <row r="1436" spans="3:4" x14ac:dyDescent="0.25">
      <c r="C1436" s="2"/>
      <c r="D1436" s="2"/>
    </row>
    <row r="1437" spans="3:4" x14ac:dyDescent="0.25">
      <c r="C1437" s="2"/>
      <c r="D1437" s="2"/>
    </row>
    <row r="1438" spans="3:4" x14ac:dyDescent="0.25">
      <c r="C1438" s="2"/>
      <c r="D1438" s="2"/>
    </row>
    <row r="1439" spans="3:4" x14ac:dyDescent="0.25">
      <c r="C1439" s="2"/>
      <c r="D1439" s="2"/>
    </row>
    <row r="1440" spans="3:4" x14ac:dyDescent="0.25">
      <c r="C1440" s="2"/>
      <c r="D1440" s="2"/>
    </row>
    <row r="1441" spans="3:4" x14ac:dyDescent="0.25">
      <c r="C1441" s="2"/>
      <c r="D1441" s="2"/>
    </row>
    <row r="1442" spans="3:4" x14ac:dyDescent="0.25">
      <c r="C1442" s="2"/>
      <c r="D1442" s="2"/>
    </row>
    <row r="1443" spans="3:4" x14ac:dyDescent="0.25">
      <c r="C1443" s="2"/>
      <c r="D1443" s="2"/>
    </row>
    <row r="1444" spans="3:4" x14ac:dyDescent="0.25">
      <c r="C1444" s="2"/>
      <c r="D1444" s="2"/>
    </row>
    <row r="1445" spans="3:4" x14ac:dyDescent="0.25">
      <c r="C1445" s="2"/>
      <c r="D1445" s="2"/>
    </row>
    <row r="1446" spans="3:4" x14ac:dyDescent="0.25">
      <c r="C1446" s="2"/>
      <c r="D1446" s="2"/>
    </row>
    <row r="1447" spans="3:4" x14ac:dyDescent="0.25">
      <c r="C1447" s="2"/>
      <c r="D1447" s="2"/>
    </row>
    <row r="1448" spans="3:4" x14ac:dyDescent="0.25">
      <c r="C1448" s="2"/>
      <c r="D1448" s="2"/>
    </row>
    <row r="1449" spans="3:4" x14ac:dyDescent="0.25">
      <c r="C1449" s="2"/>
      <c r="D1449" s="2"/>
    </row>
    <row r="1450" spans="3:4" x14ac:dyDescent="0.25">
      <c r="C1450" s="2"/>
      <c r="D1450" s="2"/>
    </row>
    <row r="1451" spans="3:4" x14ac:dyDescent="0.25">
      <c r="C1451" s="2"/>
      <c r="D1451" s="2"/>
    </row>
    <row r="1452" spans="3:4" x14ac:dyDescent="0.25">
      <c r="C1452" s="2"/>
      <c r="D1452" s="2"/>
    </row>
    <row r="1453" spans="3:4" x14ac:dyDescent="0.25">
      <c r="C1453" s="2"/>
      <c r="D1453" s="2"/>
    </row>
    <row r="1454" spans="3:4" x14ac:dyDescent="0.25">
      <c r="C1454" s="2"/>
      <c r="D1454" s="2"/>
    </row>
    <row r="1455" spans="3:4" x14ac:dyDescent="0.25">
      <c r="C1455" s="2"/>
      <c r="D1455" s="2"/>
    </row>
    <row r="1456" spans="3:4" x14ac:dyDescent="0.25">
      <c r="C1456" s="2"/>
      <c r="D1456" s="2"/>
    </row>
    <row r="1457" spans="3:4" x14ac:dyDescent="0.25">
      <c r="C1457" s="2"/>
      <c r="D1457" s="2"/>
    </row>
    <row r="1458" spans="3:4" x14ac:dyDescent="0.25">
      <c r="C1458" s="2"/>
      <c r="D1458" s="2"/>
    </row>
    <row r="1459" spans="3:4" x14ac:dyDescent="0.25">
      <c r="C1459" s="2"/>
      <c r="D1459" s="2"/>
    </row>
    <row r="1460" spans="3:4" x14ac:dyDescent="0.25">
      <c r="C1460" s="2"/>
      <c r="D1460" s="2"/>
    </row>
    <row r="1461" spans="3:4" x14ac:dyDescent="0.25">
      <c r="C1461" s="2"/>
      <c r="D1461" s="2"/>
    </row>
    <row r="1462" spans="3:4" x14ac:dyDescent="0.25">
      <c r="C1462" s="2"/>
      <c r="D1462" s="2"/>
    </row>
    <row r="1463" spans="3:4" x14ac:dyDescent="0.25">
      <c r="C1463" s="2"/>
      <c r="D1463" s="2"/>
    </row>
    <row r="1464" spans="3:4" x14ac:dyDescent="0.25">
      <c r="C1464" s="2"/>
      <c r="D1464" s="2"/>
    </row>
    <row r="1465" spans="3:4" x14ac:dyDescent="0.25">
      <c r="C1465" s="2"/>
      <c r="D1465" s="2"/>
    </row>
    <row r="1466" spans="3:4" x14ac:dyDescent="0.25">
      <c r="C1466" s="2"/>
      <c r="D1466" s="2"/>
    </row>
    <row r="1467" spans="3:4" x14ac:dyDescent="0.25">
      <c r="C1467" s="2"/>
      <c r="D1467" s="2"/>
    </row>
    <row r="1468" spans="3:4" x14ac:dyDescent="0.25">
      <c r="C1468" s="2"/>
      <c r="D1468" s="2"/>
    </row>
    <row r="1469" spans="3:4" x14ac:dyDescent="0.25">
      <c r="C1469" s="2"/>
      <c r="D1469" s="2"/>
    </row>
    <row r="1470" spans="3:4" x14ac:dyDescent="0.25">
      <c r="C1470" s="2"/>
      <c r="D1470" s="2"/>
    </row>
    <row r="1471" spans="3:4" x14ac:dyDescent="0.25">
      <c r="C1471" s="2"/>
      <c r="D1471" s="2"/>
    </row>
    <row r="1472" spans="3:4" x14ac:dyDescent="0.25">
      <c r="C1472" s="2"/>
      <c r="D1472" s="2"/>
    </row>
    <row r="1473" spans="3:4" x14ac:dyDescent="0.25">
      <c r="C1473" s="2"/>
      <c r="D1473" s="2"/>
    </row>
    <row r="1474" spans="3:4" x14ac:dyDescent="0.25">
      <c r="C1474" s="2"/>
      <c r="D1474" s="2"/>
    </row>
    <row r="1475" spans="3:4" x14ac:dyDescent="0.25">
      <c r="C1475" s="2"/>
      <c r="D1475" s="2"/>
    </row>
    <row r="1476" spans="3:4" x14ac:dyDescent="0.25">
      <c r="C1476" s="2"/>
      <c r="D1476" s="2"/>
    </row>
    <row r="1477" spans="3:4" x14ac:dyDescent="0.25">
      <c r="C1477" s="2"/>
      <c r="D1477" s="2"/>
    </row>
    <row r="1478" spans="3:4" x14ac:dyDescent="0.25">
      <c r="C1478" s="2"/>
      <c r="D1478" s="2"/>
    </row>
    <row r="1479" spans="3:4" x14ac:dyDescent="0.25">
      <c r="C1479" s="2"/>
      <c r="D1479" s="2"/>
    </row>
    <row r="1480" spans="3:4" x14ac:dyDescent="0.25">
      <c r="C1480" s="2"/>
      <c r="D1480" s="2"/>
    </row>
    <row r="1481" spans="3:4" x14ac:dyDescent="0.25">
      <c r="C1481" s="2"/>
      <c r="D1481" s="2"/>
    </row>
    <row r="1482" spans="3:4" x14ac:dyDescent="0.25">
      <c r="C1482" s="2"/>
      <c r="D1482" s="2"/>
    </row>
    <row r="1483" spans="3:4" x14ac:dyDescent="0.25">
      <c r="C1483" s="2"/>
      <c r="D1483" s="2"/>
    </row>
    <row r="1484" spans="3:4" x14ac:dyDescent="0.25">
      <c r="C1484" s="2"/>
      <c r="D1484" s="2"/>
    </row>
    <row r="1485" spans="3:4" x14ac:dyDescent="0.25">
      <c r="C1485" s="2"/>
      <c r="D1485" s="2"/>
    </row>
    <row r="1486" spans="3:4" x14ac:dyDescent="0.25">
      <c r="C1486" s="2"/>
      <c r="D1486" s="2"/>
    </row>
    <row r="1487" spans="3:4" x14ac:dyDescent="0.25">
      <c r="C1487" s="2"/>
      <c r="D1487" s="2"/>
    </row>
    <row r="1488" spans="3:4" x14ac:dyDescent="0.25">
      <c r="C1488" s="2"/>
      <c r="D1488" s="2"/>
    </row>
    <row r="1489" spans="3:4" x14ac:dyDescent="0.25">
      <c r="C1489" s="2"/>
      <c r="D1489" s="2"/>
    </row>
    <row r="1490" spans="3:4" x14ac:dyDescent="0.25">
      <c r="C1490" s="2"/>
      <c r="D1490" s="2"/>
    </row>
    <row r="1491" spans="3:4" x14ac:dyDescent="0.25">
      <c r="C1491" s="2"/>
      <c r="D1491" s="2"/>
    </row>
    <row r="1492" spans="3:4" x14ac:dyDescent="0.25">
      <c r="C1492" s="2"/>
      <c r="D1492" s="2"/>
    </row>
    <row r="1493" spans="3:4" x14ac:dyDescent="0.25">
      <c r="C1493" s="2"/>
      <c r="D1493" s="2"/>
    </row>
    <row r="1494" spans="3:4" x14ac:dyDescent="0.25">
      <c r="C1494" s="2"/>
      <c r="D1494" s="2"/>
    </row>
    <row r="1495" spans="3:4" x14ac:dyDescent="0.25">
      <c r="C1495" s="2"/>
      <c r="D1495" s="2"/>
    </row>
    <row r="1496" spans="3:4" x14ac:dyDescent="0.25">
      <c r="C1496" s="2"/>
      <c r="D1496" s="2"/>
    </row>
    <row r="1497" spans="3:4" x14ac:dyDescent="0.25">
      <c r="C1497" s="2"/>
      <c r="D1497" s="2"/>
    </row>
    <row r="1498" spans="3:4" x14ac:dyDescent="0.25">
      <c r="C1498" s="2"/>
      <c r="D1498" s="2"/>
    </row>
    <row r="1499" spans="3:4" x14ac:dyDescent="0.25">
      <c r="C1499" s="2"/>
      <c r="D1499" s="2"/>
    </row>
    <row r="1500" spans="3:4" x14ac:dyDescent="0.25">
      <c r="C1500" s="2"/>
      <c r="D1500" s="2"/>
    </row>
    <row r="1501" spans="3:4" x14ac:dyDescent="0.25">
      <c r="C1501" s="2"/>
      <c r="D1501" s="2"/>
    </row>
    <row r="1502" spans="3:4" x14ac:dyDescent="0.25">
      <c r="C1502" s="2"/>
      <c r="D1502" s="2"/>
    </row>
    <row r="1503" spans="3:4" x14ac:dyDescent="0.25">
      <c r="C1503" s="2"/>
      <c r="D1503" s="2"/>
    </row>
    <row r="1504" spans="3:4" x14ac:dyDescent="0.25">
      <c r="C1504" s="2"/>
      <c r="D1504" s="2"/>
    </row>
    <row r="1505" spans="3:4" x14ac:dyDescent="0.25">
      <c r="C1505" s="2"/>
      <c r="D1505" s="2"/>
    </row>
    <row r="1506" spans="3:4" x14ac:dyDescent="0.25">
      <c r="C1506" s="2"/>
      <c r="D1506" s="2"/>
    </row>
    <row r="1507" spans="3:4" x14ac:dyDescent="0.25">
      <c r="C1507" s="2"/>
      <c r="D1507" s="2"/>
    </row>
    <row r="1508" spans="3:4" x14ac:dyDescent="0.25">
      <c r="C1508" s="2"/>
      <c r="D1508" s="2"/>
    </row>
    <row r="1509" spans="3:4" x14ac:dyDescent="0.25">
      <c r="C1509" s="2"/>
      <c r="D1509" s="2"/>
    </row>
    <row r="1510" spans="3:4" x14ac:dyDescent="0.25">
      <c r="C1510" s="2"/>
      <c r="D1510" s="2"/>
    </row>
    <row r="1511" spans="3:4" x14ac:dyDescent="0.25">
      <c r="C1511" s="2"/>
      <c r="D1511" s="2"/>
    </row>
    <row r="1512" spans="3:4" x14ac:dyDescent="0.25">
      <c r="C1512" s="2"/>
      <c r="D1512" s="2"/>
    </row>
    <row r="1513" spans="3:4" x14ac:dyDescent="0.25">
      <c r="C1513" s="2"/>
      <c r="D1513" s="2"/>
    </row>
    <row r="1514" spans="3:4" x14ac:dyDescent="0.25">
      <c r="C1514" s="2"/>
      <c r="D1514" s="2"/>
    </row>
    <row r="1515" spans="3:4" x14ac:dyDescent="0.25">
      <c r="C1515" s="2"/>
      <c r="D1515" s="2"/>
    </row>
    <row r="1516" spans="3:4" x14ac:dyDescent="0.25">
      <c r="C1516" s="2"/>
      <c r="D1516" s="2"/>
    </row>
    <row r="1517" spans="3:4" x14ac:dyDescent="0.25">
      <c r="C1517" s="2"/>
      <c r="D1517" s="2"/>
    </row>
    <row r="1518" spans="3:4" x14ac:dyDescent="0.25">
      <c r="C1518" s="2"/>
      <c r="D1518" s="2"/>
    </row>
    <row r="1519" spans="3:4" x14ac:dyDescent="0.25">
      <c r="C1519" s="2"/>
      <c r="D1519" s="2"/>
    </row>
    <row r="1520" spans="3:4" x14ac:dyDescent="0.25">
      <c r="C1520" s="2"/>
      <c r="D1520" s="2"/>
    </row>
    <row r="1521" spans="3:4" x14ac:dyDescent="0.25">
      <c r="C1521" s="2"/>
      <c r="D1521" s="2"/>
    </row>
    <row r="1522" spans="3:4" x14ac:dyDescent="0.25">
      <c r="C1522" s="2"/>
      <c r="D1522" s="2"/>
    </row>
    <row r="1523" spans="3:4" x14ac:dyDescent="0.25">
      <c r="C1523" s="2"/>
      <c r="D1523" s="2"/>
    </row>
    <row r="1524" spans="3:4" x14ac:dyDescent="0.25">
      <c r="C1524" s="2"/>
      <c r="D1524" s="2"/>
    </row>
    <row r="1525" spans="3:4" x14ac:dyDescent="0.25">
      <c r="C1525" s="2"/>
      <c r="D1525" s="2"/>
    </row>
    <row r="1526" spans="3:4" x14ac:dyDescent="0.25">
      <c r="C1526" s="2"/>
      <c r="D1526" s="2"/>
    </row>
    <row r="1527" spans="3:4" x14ac:dyDescent="0.25">
      <c r="C1527" s="2"/>
      <c r="D1527" s="2"/>
    </row>
    <row r="1528" spans="3:4" x14ac:dyDescent="0.25">
      <c r="C1528" s="2"/>
      <c r="D1528" s="2"/>
    </row>
    <row r="1529" spans="3:4" x14ac:dyDescent="0.25">
      <c r="C1529" s="2"/>
      <c r="D1529" s="2"/>
    </row>
    <row r="1530" spans="3:4" x14ac:dyDescent="0.25">
      <c r="C1530" s="2"/>
      <c r="D1530" s="2"/>
    </row>
    <row r="1531" spans="3:4" x14ac:dyDescent="0.25">
      <c r="C1531" s="2"/>
      <c r="D1531" s="2"/>
    </row>
    <row r="1532" spans="3:4" x14ac:dyDescent="0.25">
      <c r="C1532" s="2"/>
      <c r="D1532" s="2"/>
    </row>
    <row r="1533" spans="3:4" x14ac:dyDescent="0.25">
      <c r="C1533" s="2"/>
      <c r="D1533" s="2"/>
    </row>
    <row r="1534" spans="3:4" x14ac:dyDescent="0.25">
      <c r="C1534" s="2"/>
      <c r="D1534" s="2"/>
    </row>
    <row r="1535" spans="3:4" x14ac:dyDescent="0.25">
      <c r="C1535" s="2"/>
      <c r="D1535" s="2"/>
    </row>
    <row r="1536" spans="3:4" x14ac:dyDescent="0.25">
      <c r="C1536" s="2"/>
      <c r="D1536" s="2"/>
    </row>
    <row r="1537" spans="3:4" x14ac:dyDescent="0.25">
      <c r="C1537" s="2"/>
      <c r="D1537" s="2"/>
    </row>
    <row r="1538" spans="3:4" x14ac:dyDescent="0.25">
      <c r="C1538" s="2"/>
      <c r="D1538" s="2"/>
    </row>
    <row r="1539" spans="3:4" x14ac:dyDescent="0.25">
      <c r="C1539" s="2"/>
      <c r="D1539" s="2"/>
    </row>
    <row r="1540" spans="3:4" x14ac:dyDescent="0.25">
      <c r="C1540" s="2"/>
      <c r="D1540" s="2"/>
    </row>
    <row r="1541" spans="3:4" x14ac:dyDescent="0.25">
      <c r="C1541" s="2"/>
      <c r="D1541" s="2"/>
    </row>
    <row r="1542" spans="3:4" x14ac:dyDescent="0.25">
      <c r="C1542" s="2"/>
      <c r="D1542" s="2"/>
    </row>
    <row r="1543" spans="3:4" x14ac:dyDescent="0.25">
      <c r="C1543" s="2"/>
      <c r="D1543" s="2"/>
    </row>
    <row r="1544" spans="3:4" x14ac:dyDescent="0.25">
      <c r="C1544" s="2"/>
      <c r="D1544" s="2"/>
    </row>
    <row r="1545" spans="3:4" x14ac:dyDescent="0.25">
      <c r="C1545" s="2"/>
      <c r="D1545" s="2"/>
    </row>
    <row r="1546" spans="3:4" x14ac:dyDescent="0.25">
      <c r="C1546" s="2"/>
      <c r="D1546" s="2"/>
    </row>
    <row r="1547" spans="3:4" x14ac:dyDescent="0.25">
      <c r="C1547" s="2"/>
      <c r="D1547" s="2"/>
    </row>
    <row r="1548" spans="3:4" x14ac:dyDescent="0.25">
      <c r="C1548" s="2"/>
      <c r="D1548" s="2"/>
    </row>
    <row r="1549" spans="3:4" x14ac:dyDescent="0.25">
      <c r="C1549" s="2"/>
      <c r="D1549" s="2"/>
    </row>
    <row r="1550" spans="3:4" x14ac:dyDescent="0.25">
      <c r="C1550" s="2"/>
      <c r="D1550" s="2"/>
    </row>
    <row r="1551" spans="3:4" x14ac:dyDescent="0.25">
      <c r="C1551" s="2"/>
      <c r="D1551" s="2"/>
    </row>
    <row r="1552" spans="3:4" x14ac:dyDescent="0.25">
      <c r="C1552" s="2"/>
      <c r="D1552" s="2"/>
    </row>
    <row r="1553" spans="3:4" x14ac:dyDescent="0.25">
      <c r="C1553" s="2"/>
      <c r="D1553" s="2"/>
    </row>
    <row r="1554" spans="3:4" x14ac:dyDescent="0.25">
      <c r="C1554" s="2"/>
      <c r="D1554" s="2"/>
    </row>
    <row r="1555" spans="3:4" x14ac:dyDescent="0.25">
      <c r="C1555" s="2"/>
      <c r="D1555" s="2"/>
    </row>
    <row r="1556" spans="3:4" x14ac:dyDescent="0.25">
      <c r="C1556" s="2"/>
      <c r="D1556" s="2"/>
    </row>
    <row r="1557" spans="3:4" x14ac:dyDescent="0.25">
      <c r="C1557" s="2"/>
      <c r="D1557" s="2"/>
    </row>
    <row r="1558" spans="3:4" x14ac:dyDescent="0.25">
      <c r="C1558" s="2"/>
      <c r="D1558" s="2"/>
    </row>
    <row r="1559" spans="3:4" x14ac:dyDescent="0.25">
      <c r="C1559" s="2"/>
      <c r="D1559" s="2"/>
    </row>
    <row r="1560" spans="3:4" x14ac:dyDescent="0.25">
      <c r="C1560" s="2"/>
      <c r="D1560" s="2"/>
    </row>
    <row r="1561" spans="3:4" x14ac:dyDescent="0.25">
      <c r="C1561" s="2"/>
      <c r="D1561" s="2"/>
    </row>
    <row r="1562" spans="3:4" x14ac:dyDescent="0.25">
      <c r="C1562" s="2"/>
      <c r="D1562" s="2"/>
    </row>
    <row r="1563" spans="3:4" x14ac:dyDescent="0.25">
      <c r="C1563" s="2"/>
      <c r="D1563" s="2"/>
    </row>
    <row r="1564" spans="3:4" x14ac:dyDescent="0.25">
      <c r="C1564" s="2"/>
      <c r="D1564" s="2"/>
    </row>
    <row r="1565" spans="3:4" x14ac:dyDescent="0.25">
      <c r="C1565" s="2"/>
      <c r="D1565" s="2"/>
    </row>
    <row r="1566" spans="3:4" x14ac:dyDescent="0.25">
      <c r="C1566" s="2"/>
      <c r="D1566" s="2"/>
    </row>
    <row r="1567" spans="3:4" x14ac:dyDescent="0.25">
      <c r="C1567" s="2"/>
      <c r="D1567" s="2"/>
    </row>
    <row r="1568" spans="3:4" x14ac:dyDescent="0.25">
      <c r="C1568" s="2"/>
      <c r="D1568" s="2"/>
    </row>
    <row r="1569" spans="3:4" x14ac:dyDescent="0.25">
      <c r="C1569" s="2"/>
      <c r="D1569" s="2"/>
    </row>
    <row r="1570" spans="3:4" x14ac:dyDescent="0.25">
      <c r="C1570" s="2"/>
      <c r="D1570" s="2"/>
    </row>
    <row r="1571" spans="3:4" x14ac:dyDescent="0.25">
      <c r="C1571" s="2"/>
      <c r="D1571" s="2"/>
    </row>
    <row r="1572" spans="3:4" x14ac:dyDescent="0.25">
      <c r="C1572" s="2"/>
      <c r="D1572" s="2"/>
    </row>
    <row r="1573" spans="3:4" x14ac:dyDescent="0.25">
      <c r="C1573" s="2"/>
      <c r="D1573" s="2"/>
    </row>
    <row r="1574" spans="3:4" x14ac:dyDescent="0.25">
      <c r="C1574" s="2"/>
      <c r="D1574" s="2"/>
    </row>
    <row r="1575" spans="3:4" x14ac:dyDescent="0.25">
      <c r="C1575" s="2"/>
      <c r="D1575" s="2"/>
    </row>
    <row r="1576" spans="3:4" x14ac:dyDescent="0.25">
      <c r="C1576" s="2"/>
      <c r="D1576" s="2"/>
    </row>
    <row r="1577" spans="3:4" x14ac:dyDescent="0.25">
      <c r="C1577" s="2"/>
      <c r="D1577" s="2"/>
    </row>
    <row r="1578" spans="3:4" x14ac:dyDescent="0.25">
      <c r="C1578" s="2"/>
      <c r="D1578" s="2"/>
    </row>
    <row r="1579" spans="3:4" x14ac:dyDescent="0.25">
      <c r="C1579" s="2"/>
      <c r="D1579" s="2"/>
    </row>
    <row r="1580" spans="3:4" x14ac:dyDescent="0.25">
      <c r="C1580" s="2"/>
      <c r="D1580" s="2"/>
    </row>
    <row r="1581" spans="3:4" x14ac:dyDescent="0.25">
      <c r="C1581" s="2"/>
      <c r="D1581" s="2"/>
    </row>
    <row r="1582" spans="3:4" x14ac:dyDescent="0.25">
      <c r="C1582" s="2"/>
      <c r="D1582" s="2"/>
    </row>
    <row r="1583" spans="3:4" x14ac:dyDescent="0.25">
      <c r="C1583" s="2"/>
      <c r="D1583" s="2"/>
    </row>
    <row r="1584" spans="3:4" x14ac:dyDescent="0.25">
      <c r="C1584" s="2"/>
      <c r="D1584" s="2"/>
    </row>
    <row r="1585" spans="3:4" x14ac:dyDescent="0.25">
      <c r="C1585" s="2"/>
      <c r="D1585" s="2"/>
    </row>
    <row r="1586" spans="3:4" x14ac:dyDescent="0.25">
      <c r="C1586" s="2"/>
      <c r="D1586" s="2"/>
    </row>
    <row r="1587" spans="3:4" x14ac:dyDescent="0.25">
      <c r="C1587" s="2"/>
      <c r="D1587" s="2"/>
    </row>
    <row r="1588" spans="3:4" x14ac:dyDescent="0.25">
      <c r="C1588" s="2"/>
      <c r="D1588" s="2"/>
    </row>
    <row r="1589" spans="3:4" x14ac:dyDescent="0.25">
      <c r="C1589" s="2"/>
      <c r="D1589" s="2"/>
    </row>
    <row r="1590" spans="3:4" x14ac:dyDescent="0.25">
      <c r="C1590" s="2"/>
      <c r="D1590" s="2"/>
    </row>
    <row r="1591" spans="3:4" x14ac:dyDescent="0.25">
      <c r="C1591" s="2"/>
      <c r="D1591" s="2"/>
    </row>
    <row r="1592" spans="3:4" x14ac:dyDescent="0.25">
      <c r="C1592" s="2"/>
      <c r="D1592" s="2"/>
    </row>
    <row r="1593" spans="3:4" x14ac:dyDescent="0.25">
      <c r="C1593" s="2"/>
      <c r="D1593" s="2"/>
    </row>
    <row r="1594" spans="3:4" x14ac:dyDescent="0.25">
      <c r="C1594" s="2"/>
      <c r="D1594" s="2"/>
    </row>
    <row r="1595" spans="3:4" x14ac:dyDescent="0.25">
      <c r="C1595" s="2"/>
      <c r="D1595" s="2"/>
    </row>
    <row r="1596" spans="3:4" x14ac:dyDescent="0.25">
      <c r="C1596" s="2"/>
      <c r="D1596" s="2"/>
    </row>
    <row r="1597" spans="3:4" x14ac:dyDescent="0.25">
      <c r="C1597" s="2"/>
      <c r="D1597" s="2"/>
    </row>
    <row r="1598" spans="3:4" x14ac:dyDescent="0.25">
      <c r="C1598" s="2"/>
      <c r="D1598" s="2"/>
    </row>
    <row r="1599" spans="3:4" x14ac:dyDescent="0.25">
      <c r="C1599" s="2"/>
      <c r="D1599" s="2"/>
    </row>
    <row r="1600" spans="3:4" x14ac:dyDescent="0.25">
      <c r="C1600" s="2"/>
      <c r="D1600" s="2"/>
    </row>
    <row r="1601" spans="3:4" x14ac:dyDescent="0.25">
      <c r="C1601" s="2"/>
      <c r="D1601" s="2"/>
    </row>
    <row r="1602" spans="3:4" x14ac:dyDescent="0.25">
      <c r="C1602" s="2"/>
      <c r="D1602" s="2"/>
    </row>
    <row r="1603" spans="3:4" x14ac:dyDescent="0.25">
      <c r="C1603" s="2"/>
      <c r="D1603" s="2"/>
    </row>
    <row r="1604" spans="3:4" x14ac:dyDescent="0.25">
      <c r="C1604" s="2"/>
      <c r="D1604" s="2"/>
    </row>
    <row r="1605" spans="3:4" x14ac:dyDescent="0.25">
      <c r="C1605" s="2"/>
      <c r="D1605" s="2"/>
    </row>
    <row r="1606" spans="3:4" x14ac:dyDescent="0.25">
      <c r="C1606" s="2"/>
      <c r="D1606" s="2"/>
    </row>
    <row r="1607" spans="3:4" x14ac:dyDescent="0.25">
      <c r="C1607" s="2"/>
      <c r="D1607" s="2"/>
    </row>
    <row r="1608" spans="3:4" x14ac:dyDescent="0.25">
      <c r="C1608" s="2"/>
      <c r="D1608" s="2"/>
    </row>
    <row r="1609" spans="3:4" x14ac:dyDescent="0.25">
      <c r="C1609" s="2"/>
      <c r="D1609" s="2"/>
    </row>
    <row r="1610" spans="3:4" x14ac:dyDescent="0.25">
      <c r="C1610" s="2"/>
      <c r="D1610" s="2"/>
    </row>
    <row r="1611" spans="3:4" x14ac:dyDescent="0.25">
      <c r="C1611" s="2"/>
      <c r="D1611" s="2"/>
    </row>
    <row r="1612" spans="3:4" x14ac:dyDescent="0.25">
      <c r="C1612" s="2"/>
      <c r="D1612" s="2"/>
    </row>
    <row r="1613" spans="3:4" x14ac:dyDescent="0.25">
      <c r="C1613" s="2"/>
      <c r="D1613" s="2"/>
    </row>
    <row r="1614" spans="3:4" x14ac:dyDescent="0.25">
      <c r="C1614" s="2"/>
      <c r="D1614" s="2"/>
    </row>
    <row r="1615" spans="3:4" x14ac:dyDescent="0.25">
      <c r="C1615" s="2"/>
      <c r="D1615" s="2"/>
    </row>
    <row r="1616" spans="3:4" x14ac:dyDescent="0.25">
      <c r="C1616" s="2"/>
      <c r="D1616" s="2"/>
    </row>
    <row r="1617" spans="3:4" x14ac:dyDescent="0.25">
      <c r="C1617" s="2"/>
      <c r="D1617" s="2"/>
    </row>
    <row r="1618" spans="3:4" x14ac:dyDescent="0.25">
      <c r="C1618" s="2"/>
      <c r="D1618" s="2"/>
    </row>
    <row r="1619" spans="3:4" x14ac:dyDescent="0.25">
      <c r="C1619" s="2"/>
      <c r="D1619" s="2"/>
    </row>
    <row r="1620" spans="3:4" x14ac:dyDescent="0.25">
      <c r="C1620" s="2"/>
      <c r="D1620" s="2"/>
    </row>
    <row r="1621" spans="3:4" x14ac:dyDescent="0.25">
      <c r="C1621" s="2"/>
      <c r="D1621" s="2"/>
    </row>
    <row r="1622" spans="3:4" x14ac:dyDescent="0.25">
      <c r="C1622" s="2"/>
      <c r="D1622" s="2"/>
    </row>
    <row r="1623" spans="3:4" x14ac:dyDescent="0.25">
      <c r="C1623" s="2"/>
      <c r="D1623" s="2"/>
    </row>
    <row r="1624" spans="3:4" x14ac:dyDescent="0.25">
      <c r="C1624" s="2"/>
      <c r="D1624" s="2"/>
    </row>
    <row r="1625" spans="3:4" x14ac:dyDescent="0.25">
      <c r="C1625" s="2"/>
      <c r="D1625" s="2"/>
    </row>
    <row r="1626" spans="3:4" x14ac:dyDescent="0.25">
      <c r="C1626" s="2"/>
      <c r="D1626" s="2"/>
    </row>
    <row r="1627" spans="3:4" x14ac:dyDescent="0.25">
      <c r="C1627" s="2"/>
      <c r="D1627" s="2"/>
    </row>
    <row r="1628" spans="3:4" x14ac:dyDescent="0.25">
      <c r="C1628" s="2"/>
      <c r="D1628" s="2"/>
    </row>
    <row r="1629" spans="3:4" x14ac:dyDescent="0.25">
      <c r="C1629" s="2"/>
      <c r="D1629" s="2"/>
    </row>
    <row r="1630" spans="3:4" x14ac:dyDescent="0.25">
      <c r="C1630" s="2"/>
      <c r="D1630" s="2"/>
    </row>
    <row r="1631" spans="3:4" x14ac:dyDescent="0.25">
      <c r="C1631" s="2"/>
      <c r="D1631" s="2"/>
    </row>
    <row r="1632" spans="3:4" x14ac:dyDescent="0.25">
      <c r="C1632" s="2"/>
      <c r="D1632" s="2"/>
    </row>
    <row r="1633" spans="3:4" x14ac:dyDescent="0.25">
      <c r="C1633" s="2"/>
      <c r="D1633" s="2"/>
    </row>
    <row r="1634" spans="3:4" x14ac:dyDescent="0.25">
      <c r="C1634" s="2"/>
      <c r="D1634" s="2"/>
    </row>
    <row r="1635" spans="3:4" x14ac:dyDescent="0.25">
      <c r="C1635" s="2"/>
      <c r="D1635" s="2"/>
    </row>
    <row r="1636" spans="3:4" x14ac:dyDescent="0.25">
      <c r="C1636" s="2"/>
      <c r="D1636" s="2"/>
    </row>
    <row r="1637" spans="3:4" x14ac:dyDescent="0.25">
      <c r="C1637" s="2"/>
      <c r="D1637" s="2"/>
    </row>
    <row r="1638" spans="3:4" x14ac:dyDescent="0.25">
      <c r="C1638" s="2"/>
      <c r="D1638" s="2"/>
    </row>
    <row r="1639" spans="3:4" x14ac:dyDescent="0.25">
      <c r="C1639" s="2"/>
      <c r="D1639" s="2"/>
    </row>
    <row r="1640" spans="3:4" x14ac:dyDescent="0.25">
      <c r="C1640" s="2"/>
      <c r="D1640" s="2"/>
    </row>
    <row r="1641" spans="3:4" x14ac:dyDescent="0.25">
      <c r="C1641" s="2"/>
      <c r="D1641" s="2"/>
    </row>
    <row r="1642" spans="3:4" x14ac:dyDescent="0.25">
      <c r="C1642" s="2"/>
      <c r="D1642" s="2"/>
    </row>
    <row r="1643" spans="3:4" x14ac:dyDescent="0.25">
      <c r="C1643" s="2"/>
      <c r="D1643" s="2"/>
    </row>
    <row r="1644" spans="3:4" x14ac:dyDescent="0.25">
      <c r="C1644" s="2"/>
      <c r="D1644" s="2"/>
    </row>
    <row r="1645" spans="3:4" x14ac:dyDescent="0.25">
      <c r="C1645" s="2"/>
      <c r="D1645" s="2"/>
    </row>
    <row r="1646" spans="3:4" x14ac:dyDescent="0.25">
      <c r="C1646" s="2"/>
      <c r="D1646" s="2"/>
    </row>
    <row r="1647" spans="3:4" x14ac:dyDescent="0.25">
      <c r="C1647" s="2"/>
      <c r="D1647" s="2"/>
    </row>
    <row r="1648" spans="3:4" x14ac:dyDescent="0.25">
      <c r="C1648" s="2"/>
      <c r="D1648" s="2"/>
    </row>
    <row r="1649" spans="3:4" x14ac:dyDescent="0.25">
      <c r="C1649" s="2"/>
      <c r="D1649" s="2"/>
    </row>
    <row r="1650" spans="3:4" x14ac:dyDescent="0.25">
      <c r="C1650" s="2"/>
      <c r="D1650" s="2"/>
    </row>
    <row r="1651" spans="3:4" x14ac:dyDescent="0.25">
      <c r="C1651" s="2"/>
      <c r="D1651" s="2"/>
    </row>
    <row r="1652" spans="3:4" x14ac:dyDescent="0.25">
      <c r="C1652" s="2"/>
      <c r="D1652" s="2"/>
    </row>
    <row r="1653" spans="3:4" x14ac:dyDescent="0.25">
      <c r="C1653" s="2"/>
      <c r="D1653" s="2"/>
    </row>
    <row r="1654" spans="3:4" x14ac:dyDescent="0.25">
      <c r="C1654" s="2"/>
      <c r="D1654" s="2"/>
    </row>
    <row r="1655" spans="3:4" x14ac:dyDescent="0.25">
      <c r="C1655" s="2"/>
      <c r="D1655" s="2"/>
    </row>
    <row r="1656" spans="3:4" x14ac:dyDescent="0.25">
      <c r="C1656" s="2"/>
      <c r="D1656" s="2"/>
    </row>
    <row r="1657" spans="3:4" x14ac:dyDescent="0.25">
      <c r="C1657" s="2"/>
      <c r="D1657" s="2"/>
    </row>
    <row r="1658" spans="3:4" x14ac:dyDescent="0.25">
      <c r="C1658" s="2"/>
      <c r="D1658" s="2"/>
    </row>
    <row r="1659" spans="3:4" x14ac:dyDescent="0.25">
      <c r="C1659" s="2"/>
      <c r="D1659" s="2"/>
    </row>
    <row r="1660" spans="3:4" x14ac:dyDescent="0.25">
      <c r="C1660" s="2"/>
      <c r="D1660" s="2"/>
    </row>
    <row r="1661" spans="3:4" x14ac:dyDescent="0.25">
      <c r="C1661" s="2"/>
      <c r="D1661" s="2"/>
    </row>
    <row r="1662" spans="3:4" x14ac:dyDescent="0.25">
      <c r="C1662" s="2"/>
      <c r="D1662" s="2"/>
    </row>
    <row r="1663" spans="3:4" x14ac:dyDescent="0.25">
      <c r="C1663" s="2"/>
      <c r="D1663" s="2"/>
    </row>
    <row r="1664" spans="3:4" x14ac:dyDescent="0.25">
      <c r="C1664" s="2"/>
      <c r="D1664" s="2"/>
    </row>
    <row r="1665" spans="3:4" x14ac:dyDescent="0.25">
      <c r="C1665" s="2"/>
      <c r="D1665" s="2"/>
    </row>
    <row r="1666" spans="3:4" x14ac:dyDescent="0.25">
      <c r="C1666" s="2"/>
      <c r="D1666" s="2"/>
    </row>
    <row r="1667" spans="3:4" x14ac:dyDescent="0.25">
      <c r="C1667" s="2"/>
      <c r="D1667" s="2"/>
    </row>
    <row r="1668" spans="3:4" x14ac:dyDescent="0.25">
      <c r="C1668" s="2"/>
      <c r="D1668" s="2"/>
    </row>
    <row r="1669" spans="3:4" x14ac:dyDescent="0.25">
      <c r="C1669" s="2"/>
      <c r="D1669" s="2"/>
    </row>
    <row r="1670" spans="3:4" x14ac:dyDescent="0.25">
      <c r="C1670" s="2"/>
      <c r="D1670" s="2"/>
    </row>
    <row r="1671" spans="3:4" x14ac:dyDescent="0.25">
      <c r="C1671" s="2"/>
      <c r="D1671" s="2"/>
    </row>
    <row r="1672" spans="3:4" x14ac:dyDescent="0.25">
      <c r="C1672" s="2"/>
      <c r="D1672" s="2"/>
    </row>
    <row r="1673" spans="3:4" x14ac:dyDescent="0.25">
      <c r="C1673" s="2"/>
      <c r="D1673" s="2"/>
    </row>
    <row r="1674" spans="3:4" x14ac:dyDescent="0.25">
      <c r="C1674" s="2"/>
      <c r="D1674" s="2"/>
    </row>
    <row r="1675" spans="3:4" x14ac:dyDescent="0.25">
      <c r="C1675" s="2"/>
      <c r="D1675" s="2"/>
    </row>
    <row r="1676" spans="3:4" x14ac:dyDescent="0.25">
      <c r="C1676" s="2"/>
      <c r="D1676" s="2"/>
    </row>
    <row r="1677" spans="3:4" x14ac:dyDescent="0.25">
      <c r="C1677" s="2"/>
      <c r="D1677" s="2"/>
    </row>
    <row r="1678" spans="3:4" x14ac:dyDescent="0.25">
      <c r="C1678" s="2"/>
      <c r="D1678" s="2"/>
    </row>
    <row r="1679" spans="3:4" x14ac:dyDescent="0.25">
      <c r="C1679" s="2"/>
      <c r="D1679" s="2"/>
    </row>
    <row r="1680" spans="3:4" x14ac:dyDescent="0.25">
      <c r="C1680" s="2"/>
      <c r="D1680" s="2"/>
    </row>
    <row r="1681" spans="3:4" x14ac:dyDescent="0.25">
      <c r="C1681" s="2"/>
      <c r="D1681" s="2"/>
    </row>
    <row r="1682" spans="3:4" x14ac:dyDescent="0.25">
      <c r="C1682" s="2"/>
      <c r="D1682" s="2"/>
    </row>
    <row r="1683" spans="3:4" x14ac:dyDescent="0.25">
      <c r="C1683" s="2"/>
      <c r="D1683" s="2"/>
    </row>
    <row r="1684" spans="3:4" x14ac:dyDescent="0.25">
      <c r="C1684" s="2"/>
      <c r="D1684" s="2"/>
    </row>
    <row r="1685" spans="3:4" x14ac:dyDescent="0.25">
      <c r="C1685" s="2"/>
      <c r="D1685" s="2"/>
    </row>
    <row r="1686" spans="3:4" x14ac:dyDescent="0.25">
      <c r="C1686" s="2"/>
      <c r="D1686" s="2"/>
    </row>
    <row r="1687" spans="3:4" x14ac:dyDescent="0.25">
      <c r="C1687" s="2"/>
      <c r="D1687" s="2"/>
    </row>
    <row r="1688" spans="3:4" x14ac:dyDescent="0.25">
      <c r="C1688" s="2"/>
      <c r="D1688" s="2"/>
    </row>
    <row r="1689" spans="3:4" x14ac:dyDescent="0.25">
      <c r="C1689" s="2"/>
      <c r="D1689" s="2"/>
    </row>
    <row r="1690" spans="3:4" x14ac:dyDescent="0.25">
      <c r="C1690" s="2"/>
      <c r="D1690" s="2"/>
    </row>
    <row r="1691" spans="3:4" x14ac:dyDescent="0.25">
      <c r="C1691" s="2"/>
      <c r="D1691" s="2"/>
    </row>
    <row r="1692" spans="3:4" x14ac:dyDescent="0.25">
      <c r="C1692" s="2"/>
      <c r="D1692" s="2"/>
    </row>
    <row r="1693" spans="3:4" x14ac:dyDescent="0.25">
      <c r="C1693" s="2"/>
      <c r="D1693" s="2"/>
    </row>
    <row r="1694" spans="3:4" x14ac:dyDescent="0.25">
      <c r="C1694" s="2"/>
      <c r="D1694" s="2"/>
    </row>
    <row r="1695" spans="3:4" x14ac:dyDescent="0.25">
      <c r="C1695" s="2"/>
      <c r="D1695" s="2"/>
    </row>
    <row r="1696" spans="3:4" x14ac:dyDescent="0.25">
      <c r="C1696" s="2"/>
      <c r="D1696" s="2"/>
    </row>
    <row r="1697" spans="3:4" x14ac:dyDescent="0.25">
      <c r="C1697" s="2"/>
      <c r="D1697" s="2"/>
    </row>
    <row r="1698" spans="3:4" x14ac:dyDescent="0.25">
      <c r="C1698" s="2"/>
      <c r="D1698" s="2"/>
    </row>
    <row r="1699" spans="3:4" x14ac:dyDescent="0.25">
      <c r="C1699" s="2"/>
      <c r="D1699" s="2"/>
    </row>
    <row r="1700" spans="3:4" x14ac:dyDescent="0.25">
      <c r="C1700" s="2"/>
      <c r="D1700" s="2"/>
    </row>
    <row r="1701" spans="3:4" x14ac:dyDescent="0.25">
      <c r="C1701" s="2"/>
      <c r="D1701" s="2"/>
    </row>
    <row r="1702" spans="3:4" x14ac:dyDescent="0.25">
      <c r="C1702" s="2"/>
      <c r="D1702" s="2"/>
    </row>
    <row r="1703" spans="3:4" x14ac:dyDescent="0.25">
      <c r="C1703" s="2"/>
      <c r="D1703" s="2"/>
    </row>
    <row r="1704" spans="3:4" x14ac:dyDescent="0.25">
      <c r="C1704" s="2"/>
      <c r="D1704" s="2"/>
    </row>
    <row r="1705" spans="3:4" x14ac:dyDescent="0.25">
      <c r="C1705" s="2"/>
      <c r="D1705" s="2"/>
    </row>
    <row r="1706" spans="3:4" x14ac:dyDescent="0.25">
      <c r="C1706" s="2"/>
      <c r="D1706" s="2"/>
    </row>
    <row r="1707" spans="3:4" x14ac:dyDescent="0.25">
      <c r="C1707" s="2"/>
      <c r="D1707" s="2"/>
    </row>
    <row r="1708" spans="3:4" x14ac:dyDescent="0.25">
      <c r="C1708" s="2"/>
      <c r="D1708" s="2"/>
    </row>
    <row r="1709" spans="3:4" x14ac:dyDescent="0.25">
      <c r="C1709" s="2"/>
      <c r="D1709" s="2"/>
    </row>
    <row r="1710" spans="3:4" x14ac:dyDescent="0.25">
      <c r="C1710" s="2"/>
      <c r="D1710" s="2"/>
    </row>
    <row r="1711" spans="3:4" x14ac:dyDescent="0.25">
      <c r="C1711" s="2"/>
      <c r="D1711" s="2"/>
    </row>
    <row r="1712" spans="3:4" x14ac:dyDescent="0.25">
      <c r="C1712" s="2"/>
      <c r="D1712" s="2"/>
    </row>
    <row r="1713" spans="3:4" x14ac:dyDescent="0.25">
      <c r="C1713" s="2"/>
      <c r="D1713" s="2"/>
    </row>
    <row r="1714" spans="3:4" x14ac:dyDescent="0.25">
      <c r="C1714" s="2"/>
      <c r="D1714" s="2"/>
    </row>
    <row r="1715" spans="3:4" x14ac:dyDescent="0.25">
      <c r="C1715" s="2"/>
      <c r="D1715" s="2"/>
    </row>
    <row r="1716" spans="3:4" x14ac:dyDescent="0.25">
      <c r="C1716" s="2"/>
      <c r="D1716" s="2"/>
    </row>
    <row r="1717" spans="3:4" x14ac:dyDescent="0.25">
      <c r="C1717" s="2"/>
      <c r="D1717" s="2"/>
    </row>
    <row r="1718" spans="3:4" x14ac:dyDescent="0.25">
      <c r="C1718" s="2"/>
      <c r="D1718" s="2"/>
    </row>
    <row r="1719" spans="3:4" x14ac:dyDescent="0.25">
      <c r="C1719" s="2"/>
      <c r="D1719" s="2"/>
    </row>
    <row r="1720" spans="3:4" x14ac:dyDescent="0.25">
      <c r="C1720" s="2"/>
      <c r="D1720" s="2"/>
    </row>
    <row r="1721" spans="3:4" x14ac:dyDescent="0.25">
      <c r="C1721" s="2"/>
      <c r="D1721" s="2"/>
    </row>
    <row r="1722" spans="3:4" x14ac:dyDescent="0.25">
      <c r="C1722" s="2"/>
      <c r="D1722" s="2"/>
    </row>
    <row r="1723" spans="3:4" x14ac:dyDescent="0.25">
      <c r="C1723" s="2"/>
      <c r="D1723" s="2"/>
    </row>
    <row r="1724" spans="3:4" x14ac:dyDescent="0.25">
      <c r="C1724" s="2"/>
      <c r="D1724" s="2"/>
    </row>
    <row r="1725" spans="3:4" x14ac:dyDescent="0.25">
      <c r="C1725" s="2"/>
      <c r="D1725" s="2"/>
    </row>
    <row r="1726" spans="3:4" x14ac:dyDescent="0.25">
      <c r="C1726" s="2"/>
      <c r="D1726" s="2"/>
    </row>
    <row r="1727" spans="3:4" x14ac:dyDescent="0.25">
      <c r="C1727" s="2"/>
      <c r="D1727" s="2"/>
    </row>
    <row r="1728" spans="3:4" x14ac:dyDescent="0.25">
      <c r="C1728" s="2"/>
      <c r="D1728" s="2"/>
    </row>
    <row r="1729" spans="3:4" x14ac:dyDescent="0.25">
      <c r="C1729" s="2"/>
      <c r="D1729" s="2"/>
    </row>
    <row r="1730" spans="3:4" x14ac:dyDescent="0.25">
      <c r="C1730" s="2"/>
      <c r="D1730" s="2"/>
    </row>
    <row r="1731" spans="3:4" x14ac:dyDescent="0.25">
      <c r="C1731" s="2"/>
      <c r="D1731" s="2"/>
    </row>
    <row r="1732" spans="3:4" x14ac:dyDescent="0.25">
      <c r="C1732" s="2"/>
      <c r="D1732" s="2"/>
    </row>
    <row r="1733" spans="3:4" x14ac:dyDescent="0.25">
      <c r="C1733" s="2"/>
      <c r="D1733" s="2"/>
    </row>
    <row r="1734" spans="3:4" x14ac:dyDescent="0.25">
      <c r="C1734" s="2"/>
      <c r="D1734" s="2"/>
    </row>
    <row r="1735" spans="3:4" x14ac:dyDescent="0.25">
      <c r="C1735" s="2"/>
      <c r="D1735" s="2"/>
    </row>
    <row r="1736" spans="3:4" x14ac:dyDescent="0.25">
      <c r="C1736" s="2"/>
      <c r="D1736" s="2"/>
    </row>
    <row r="1737" spans="3:4" x14ac:dyDescent="0.25">
      <c r="C1737" s="2"/>
      <c r="D1737" s="2"/>
    </row>
    <row r="1738" spans="3:4" x14ac:dyDescent="0.25">
      <c r="C1738" s="2"/>
      <c r="D1738" s="2"/>
    </row>
    <row r="1739" spans="3:4" x14ac:dyDescent="0.25">
      <c r="C1739" s="2"/>
      <c r="D1739" s="2"/>
    </row>
    <row r="1740" spans="3:4" x14ac:dyDescent="0.25">
      <c r="C1740" s="2"/>
      <c r="D1740" s="2"/>
    </row>
    <row r="1741" spans="3:4" x14ac:dyDescent="0.25">
      <c r="C1741" s="2"/>
      <c r="D1741" s="2"/>
    </row>
    <row r="1742" spans="3:4" x14ac:dyDescent="0.25">
      <c r="C1742" s="2"/>
      <c r="D1742" s="2"/>
    </row>
    <row r="1743" spans="3:4" x14ac:dyDescent="0.25">
      <c r="C1743" s="2"/>
      <c r="D1743" s="2"/>
    </row>
    <row r="1744" spans="3:4" x14ac:dyDescent="0.25">
      <c r="C1744" s="2"/>
      <c r="D1744" s="2"/>
    </row>
    <row r="1745" spans="3:4" x14ac:dyDescent="0.25">
      <c r="C1745" s="2"/>
      <c r="D1745" s="2"/>
    </row>
    <row r="1746" spans="3:4" x14ac:dyDescent="0.25">
      <c r="C1746" s="2"/>
      <c r="D1746" s="2"/>
    </row>
    <row r="1747" spans="3:4" x14ac:dyDescent="0.25">
      <c r="C1747" s="2"/>
      <c r="D1747" s="2"/>
    </row>
    <row r="1748" spans="3:4" x14ac:dyDescent="0.25">
      <c r="C1748" s="2"/>
      <c r="D1748" s="2"/>
    </row>
    <row r="1749" spans="3:4" x14ac:dyDescent="0.25">
      <c r="C1749" s="2"/>
      <c r="D1749" s="2"/>
    </row>
    <row r="1750" spans="3:4" x14ac:dyDescent="0.25">
      <c r="C1750" s="2"/>
      <c r="D1750" s="2"/>
    </row>
    <row r="1751" spans="3:4" x14ac:dyDescent="0.25">
      <c r="C1751" s="2"/>
      <c r="D1751" s="2"/>
    </row>
    <row r="1752" spans="3:4" x14ac:dyDescent="0.25">
      <c r="C1752" s="2"/>
      <c r="D1752" s="2"/>
    </row>
    <row r="1753" spans="3:4" x14ac:dyDescent="0.25">
      <c r="C1753" s="2"/>
      <c r="D1753" s="2"/>
    </row>
    <row r="1754" spans="3:4" x14ac:dyDescent="0.25">
      <c r="C1754" s="2"/>
      <c r="D1754" s="2"/>
    </row>
    <row r="1755" spans="3:4" x14ac:dyDescent="0.25">
      <c r="C1755" s="2"/>
      <c r="D1755" s="2"/>
    </row>
    <row r="1756" spans="3:4" x14ac:dyDescent="0.25">
      <c r="C1756" s="2"/>
      <c r="D1756" s="2"/>
    </row>
    <row r="1757" spans="3:4" x14ac:dyDescent="0.25">
      <c r="C1757" s="2"/>
      <c r="D1757" s="2"/>
    </row>
    <row r="1758" spans="3:4" x14ac:dyDescent="0.25">
      <c r="C1758" s="2"/>
      <c r="D1758" s="2"/>
    </row>
    <row r="1759" spans="3:4" x14ac:dyDescent="0.25">
      <c r="C1759" s="2"/>
      <c r="D1759" s="2"/>
    </row>
    <row r="1760" spans="3:4" x14ac:dyDescent="0.25">
      <c r="C1760" s="2"/>
      <c r="D1760" s="2"/>
    </row>
    <row r="1761" spans="3:4" x14ac:dyDescent="0.25">
      <c r="C1761" s="2"/>
      <c r="D1761" s="2"/>
    </row>
    <row r="1762" spans="3:4" x14ac:dyDescent="0.25">
      <c r="C1762" s="2"/>
      <c r="D1762" s="2"/>
    </row>
    <row r="1763" spans="3:4" x14ac:dyDescent="0.25">
      <c r="C1763" s="2"/>
      <c r="D1763" s="2"/>
    </row>
    <row r="1764" spans="3:4" x14ac:dyDescent="0.25">
      <c r="C1764" s="2"/>
      <c r="D1764" s="2"/>
    </row>
    <row r="1765" spans="3:4" x14ac:dyDescent="0.25">
      <c r="C1765" s="2"/>
      <c r="D1765" s="2"/>
    </row>
    <row r="1766" spans="3:4" x14ac:dyDescent="0.25">
      <c r="C1766" s="2"/>
      <c r="D1766" s="2"/>
    </row>
    <row r="1767" spans="3:4" x14ac:dyDescent="0.25">
      <c r="C1767" s="2"/>
      <c r="D1767" s="2"/>
    </row>
    <row r="1768" spans="3:4" x14ac:dyDescent="0.25">
      <c r="C1768" s="2"/>
      <c r="D1768" s="2"/>
    </row>
    <row r="1769" spans="3:4" x14ac:dyDescent="0.25">
      <c r="C1769" s="2"/>
      <c r="D1769" s="2"/>
    </row>
    <row r="1770" spans="3:4" x14ac:dyDescent="0.25">
      <c r="C1770" s="2"/>
      <c r="D1770" s="2"/>
    </row>
    <row r="1771" spans="3:4" x14ac:dyDescent="0.25">
      <c r="C1771" s="2"/>
      <c r="D1771" s="2"/>
    </row>
    <row r="1772" spans="3:4" x14ac:dyDescent="0.25">
      <c r="C1772" s="2"/>
      <c r="D1772" s="2"/>
    </row>
    <row r="1773" spans="3:4" x14ac:dyDescent="0.25">
      <c r="C1773" s="2"/>
      <c r="D1773" s="2"/>
    </row>
    <row r="1774" spans="3:4" x14ac:dyDescent="0.25">
      <c r="C1774" s="2"/>
      <c r="D1774" s="2"/>
    </row>
    <row r="1775" spans="3:4" x14ac:dyDescent="0.25">
      <c r="C1775" s="2"/>
      <c r="D1775" s="2"/>
    </row>
    <row r="1776" spans="3:4" x14ac:dyDescent="0.25">
      <c r="C1776" s="2"/>
      <c r="D1776" s="2"/>
    </row>
    <row r="1777" spans="3:4" x14ac:dyDescent="0.25">
      <c r="C1777" s="2"/>
      <c r="D1777" s="2"/>
    </row>
    <row r="1778" spans="3:4" x14ac:dyDescent="0.25">
      <c r="C1778" s="2"/>
      <c r="D1778" s="2"/>
    </row>
    <row r="1779" spans="3:4" x14ac:dyDescent="0.25">
      <c r="C1779" s="2"/>
      <c r="D1779" s="2"/>
    </row>
    <row r="1780" spans="3:4" x14ac:dyDescent="0.25">
      <c r="C1780" s="2"/>
      <c r="D1780" s="2"/>
    </row>
    <row r="1781" spans="3:4" x14ac:dyDescent="0.25">
      <c r="C1781" s="2"/>
      <c r="D1781" s="2"/>
    </row>
    <row r="1782" spans="3:4" x14ac:dyDescent="0.25">
      <c r="C1782" s="2"/>
      <c r="D1782" s="2"/>
    </row>
    <row r="1783" spans="3:4" x14ac:dyDescent="0.25">
      <c r="C1783" s="2"/>
      <c r="D1783" s="2"/>
    </row>
    <row r="1784" spans="3:4" x14ac:dyDescent="0.25">
      <c r="C1784" s="2"/>
      <c r="D1784" s="2"/>
    </row>
    <row r="1785" spans="3:4" x14ac:dyDescent="0.25">
      <c r="C1785" s="2"/>
      <c r="D1785" s="2"/>
    </row>
    <row r="1786" spans="3:4" x14ac:dyDescent="0.25">
      <c r="C1786" s="2"/>
      <c r="D1786" s="2"/>
    </row>
    <row r="1787" spans="3:4" x14ac:dyDescent="0.25">
      <c r="C1787" s="2"/>
      <c r="D1787" s="2"/>
    </row>
    <row r="1788" spans="3:4" x14ac:dyDescent="0.25">
      <c r="C1788" s="2"/>
      <c r="D1788" s="2"/>
    </row>
    <row r="1789" spans="3:4" x14ac:dyDescent="0.25">
      <c r="C1789" s="2"/>
      <c r="D1789" s="2"/>
    </row>
    <row r="1790" spans="3:4" x14ac:dyDescent="0.25">
      <c r="C1790" s="2"/>
      <c r="D1790" s="2"/>
    </row>
    <row r="1791" spans="3:4" x14ac:dyDescent="0.25">
      <c r="C1791" s="2"/>
      <c r="D1791" s="2"/>
    </row>
    <row r="1792" spans="3:4" x14ac:dyDescent="0.25">
      <c r="C1792" s="2"/>
      <c r="D1792" s="2"/>
    </row>
    <row r="1793" spans="3:4" x14ac:dyDescent="0.25">
      <c r="C1793" s="2"/>
      <c r="D1793" s="2"/>
    </row>
    <row r="1794" spans="3:4" x14ac:dyDescent="0.25">
      <c r="C1794" s="2"/>
      <c r="D1794" s="2"/>
    </row>
    <row r="1795" spans="3:4" x14ac:dyDescent="0.25">
      <c r="C1795" s="2"/>
      <c r="D1795" s="2"/>
    </row>
    <row r="1796" spans="3:4" x14ac:dyDescent="0.25">
      <c r="C1796" s="2"/>
      <c r="D1796" s="2"/>
    </row>
    <row r="1797" spans="3:4" x14ac:dyDescent="0.25">
      <c r="C1797" s="2"/>
      <c r="D1797" s="2"/>
    </row>
    <row r="1798" spans="3:4" x14ac:dyDescent="0.25">
      <c r="C1798" s="2"/>
      <c r="D1798" s="2"/>
    </row>
    <row r="1799" spans="3:4" x14ac:dyDescent="0.25">
      <c r="C1799" s="2"/>
      <c r="D1799" s="2"/>
    </row>
    <row r="1800" spans="3:4" x14ac:dyDescent="0.25">
      <c r="C1800" s="2"/>
      <c r="D1800" s="2"/>
    </row>
    <row r="1801" spans="3:4" x14ac:dyDescent="0.25">
      <c r="C1801" s="2"/>
      <c r="D1801" s="2"/>
    </row>
    <row r="1802" spans="3:4" x14ac:dyDescent="0.25">
      <c r="C1802" s="2"/>
      <c r="D1802" s="2"/>
    </row>
    <row r="1803" spans="3:4" x14ac:dyDescent="0.25">
      <c r="C1803" s="2"/>
      <c r="D1803" s="2"/>
    </row>
    <row r="1804" spans="3:4" x14ac:dyDescent="0.25">
      <c r="C1804" s="2"/>
      <c r="D1804" s="2"/>
    </row>
    <row r="1805" spans="3:4" x14ac:dyDescent="0.25">
      <c r="C1805" s="2"/>
      <c r="D1805" s="2"/>
    </row>
    <row r="1806" spans="3:4" x14ac:dyDescent="0.25">
      <c r="C1806" s="2"/>
      <c r="D1806" s="2"/>
    </row>
    <row r="1807" spans="3:4" x14ac:dyDescent="0.25">
      <c r="C1807" s="2"/>
      <c r="D1807" s="2"/>
    </row>
    <row r="1808" spans="3:4" x14ac:dyDescent="0.25">
      <c r="C1808" s="2"/>
      <c r="D1808" s="2"/>
    </row>
    <row r="1809" spans="3:4" x14ac:dyDescent="0.25">
      <c r="C1809" s="2"/>
      <c r="D1809" s="2"/>
    </row>
    <row r="1810" spans="3:4" x14ac:dyDescent="0.25">
      <c r="C1810" s="2"/>
      <c r="D1810" s="2"/>
    </row>
    <row r="1811" spans="3:4" x14ac:dyDescent="0.25">
      <c r="C1811" s="2"/>
      <c r="D1811" s="2"/>
    </row>
    <row r="1812" spans="3:4" x14ac:dyDescent="0.25">
      <c r="C1812" s="2"/>
      <c r="D1812" s="2"/>
    </row>
    <row r="1813" spans="3:4" x14ac:dyDescent="0.25">
      <c r="C1813" s="2"/>
      <c r="D1813" s="2"/>
    </row>
    <row r="1814" spans="3:4" x14ac:dyDescent="0.25">
      <c r="C1814" s="2"/>
      <c r="D1814" s="2"/>
    </row>
    <row r="1815" spans="3:4" x14ac:dyDescent="0.25">
      <c r="C1815" s="2"/>
      <c r="D1815" s="2"/>
    </row>
    <row r="1816" spans="3:4" x14ac:dyDescent="0.25">
      <c r="C1816" s="2"/>
      <c r="D1816" s="2"/>
    </row>
    <row r="1817" spans="3:4" x14ac:dyDescent="0.25">
      <c r="C1817" s="2"/>
      <c r="D1817" s="2"/>
    </row>
    <row r="1818" spans="3:4" x14ac:dyDescent="0.25">
      <c r="C1818" s="2"/>
      <c r="D1818" s="2"/>
    </row>
    <row r="1819" spans="3:4" x14ac:dyDescent="0.25">
      <c r="C1819" s="2"/>
      <c r="D1819" s="2"/>
    </row>
    <row r="1820" spans="3:4" x14ac:dyDescent="0.25">
      <c r="C1820" s="2"/>
      <c r="D1820" s="2"/>
    </row>
    <row r="1821" spans="3:4" x14ac:dyDescent="0.25">
      <c r="C1821" s="2"/>
      <c r="D1821" s="2"/>
    </row>
    <row r="1822" spans="3:4" x14ac:dyDescent="0.25">
      <c r="C1822" s="2"/>
      <c r="D1822" s="2"/>
    </row>
    <row r="1823" spans="3:4" x14ac:dyDescent="0.25">
      <c r="C1823" s="2"/>
      <c r="D1823" s="2"/>
    </row>
    <row r="1824" spans="3:4" x14ac:dyDescent="0.25">
      <c r="C1824" s="2"/>
      <c r="D1824" s="2"/>
    </row>
    <row r="1825" spans="3:4" x14ac:dyDescent="0.25">
      <c r="C1825" s="2"/>
      <c r="D1825" s="2"/>
    </row>
    <row r="1826" spans="3:4" x14ac:dyDescent="0.25">
      <c r="C1826" s="2"/>
      <c r="D1826" s="2"/>
    </row>
    <row r="1827" spans="3:4" x14ac:dyDescent="0.25">
      <c r="C1827" s="2"/>
      <c r="D1827" s="2"/>
    </row>
    <row r="1828" spans="3:4" x14ac:dyDescent="0.25">
      <c r="C1828" s="2"/>
      <c r="D1828" s="2"/>
    </row>
    <row r="1829" spans="3:4" x14ac:dyDescent="0.25">
      <c r="C1829" s="2"/>
      <c r="D1829" s="2"/>
    </row>
    <row r="1830" spans="3:4" x14ac:dyDescent="0.25">
      <c r="C1830" s="2"/>
      <c r="D1830" s="2"/>
    </row>
    <row r="1831" spans="3:4" x14ac:dyDescent="0.25">
      <c r="C1831" s="2"/>
      <c r="D1831" s="2"/>
    </row>
    <row r="1832" spans="3:4" x14ac:dyDescent="0.25">
      <c r="C1832" s="2"/>
      <c r="D1832" s="2"/>
    </row>
    <row r="1833" spans="3:4" x14ac:dyDescent="0.25">
      <c r="C1833" s="2"/>
      <c r="D1833" s="2"/>
    </row>
    <row r="1834" spans="3:4" x14ac:dyDescent="0.25">
      <c r="C1834" s="2"/>
      <c r="D1834" s="2"/>
    </row>
    <row r="1835" spans="3:4" x14ac:dyDescent="0.25">
      <c r="C1835" s="2"/>
      <c r="D1835" s="2"/>
    </row>
    <row r="1836" spans="3:4" x14ac:dyDescent="0.25">
      <c r="C1836" s="2"/>
      <c r="D1836" s="2"/>
    </row>
    <row r="1837" spans="3:4" x14ac:dyDescent="0.25">
      <c r="C1837" s="2"/>
      <c r="D1837" s="2"/>
    </row>
    <row r="1838" spans="3:4" x14ac:dyDescent="0.25">
      <c r="C1838" s="2"/>
      <c r="D1838" s="2"/>
    </row>
    <row r="1839" spans="3:4" x14ac:dyDescent="0.25">
      <c r="C1839" s="2"/>
      <c r="D1839" s="2"/>
    </row>
    <row r="1840" spans="3:4" x14ac:dyDescent="0.25">
      <c r="C1840" s="2"/>
      <c r="D1840" s="2"/>
    </row>
    <row r="1841" spans="3:4" x14ac:dyDescent="0.25">
      <c r="C1841" s="2"/>
      <c r="D1841" s="2"/>
    </row>
    <row r="1842" spans="3:4" x14ac:dyDescent="0.25">
      <c r="C1842" s="2"/>
      <c r="D1842" s="2"/>
    </row>
    <row r="1843" spans="3:4" x14ac:dyDescent="0.25">
      <c r="C1843" s="2"/>
      <c r="D1843" s="2"/>
    </row>
    <row r="1844" spans="3:4" x14ac:dyDescent="0.25">
      <c r="C1844" s="2"/>
      <c r="D1844" s="2"/>
    </row>
    <row r="1845" spans="3:4" x14ac:dyDescent="0.25">
      <c r="C1845" s="2"/>
      <c r="D1845" s="2"/>
    </row>
    <row r="1846" spans="3:4" x14ac:dyDescent="0.25">
      <c r="C1846" s="2"/>
      <c r="D1846" s="2"/>
    </row>
    <row r="1847" spans="3:4" x14ac:dyDescent="0.25">
      <c r="C1847" s="2"/>
      <c r="D1847" s="2"/>
    </row>
    <row r="1848" spans="3:4" x14ac:dyDescent="0.25">
      <c r="C1848" s="2"/>
      <c r="D1848" s="2"/>
    </row>
    <row r="1849" spans="3:4" x14ac:dyDescent="0.25">
      <c r="C1849" s="2"/>
      <c r="D1849" s="2"/>
    </row>
    <row r="1850" spans="3:4" x14ac:dyDescent="0.25">
      <c r="C1850" s="2"/>
      <c r="D1850" s="2"/>
    </row>
    <row r="1851" spans="3:4" x14ac:dyDescent="0.25">
      <c r="C1851" s="2"/>
      <c r="D1851" s="2"/>
    </row>
    <row r="1852" spans="3:4" x14ac:dyDescent="0.25">
      <c r="C1852" s="2"/>
      <c r="D1852" s="2"/>
    </row>
    <row r="1853" spans="3:4" x14ac:dyDescent="0.25">
      <c r="C1853" s="2"/>
      <c r="D1853" s="2"/>
    </row>
    <row r="1854" spans="3:4" x14ac:dyDescent="0.25">
      <c r="C1854" s="2"/>
      <c r="D1854" s="2"/>
    </row>
    <row r="1855" spans="3:4" x14ac:dyDescent="0.25">
      <c r="C1855" s="2"/>
      <c r="D1855" s="2"/>
    </row>
    <row r="1856" spans="3:4" x14ac:dyDescent="0.25">
      <c r="C1856" s="2"/>
      <c r="D1856" s="2"/>
    </row>
    <row r="1857" spans="3:4" x14ac:dyDescent="0.25">
      <c r="C1857" s="2"/>
      <c r="D1857" s="2"/>
    </row>
    <row r="1858" spans="3:4" x14ac:dyDescent="0.25">
      <c r="C1858" s="2"/>
      <c r="D1858" s="2"/>
    </row>
    <row r="1859" spans="3:4" x14ac:dyDescent="0.25">
      <c r="C1859" s="2"/>
      <c r="D1859" s="2"/>
    </row>
    <row r="1860" spans="3:4" x14ac:dyDescent="0.25">
      <c r="C1860" s="2"/>
      <c r="D1860" s="2"/>
    </row>
    <row r="1861" spans="3:4" x14ac:dyDescent="0.25">
      <c r="C1861" s="2"/>
      <c r="D1861" s="2"/>
    </row>
    <row r="1862" spans="3:4" x14ac:dyDescent="0.25">
      <c r="C1862" s="2"/>
      <c r="D1862" s="2"/>
    </row>
    <row r="1863" spans="3:4" x14ac:dyDescent="0.25">
      <c r="C1863" s="2"/>
      <c r="D1863" s="2"/>
    </row>
    <row r="1864" spans="3:4" x14ac:dyDescent="0.25">
      <c r="C1864" s="2"/>
      <c r="D1864" s="2"/>
    </row>
    <row r="1865" spans="3:4" x14ac:dyDescent="0.25">
      <c r="C1865" s="2"/>
      <c r="D1865" s="2"/>
    </row>
    <row r="1866" spans="3:4" x14ac:dyDescent="0.25">
      <c r="C1866" s="2"/>
      <c r="D1866" s="2"/>
    </row>
    <row r="1867" spans="3:4" x14ac:dyDescent="0.25">
      <c r="C1867" s="2"/>
      <c r="D1867" s="2"/>
    </row>
    <row r="1868" spans="3:4" x14ac:dyDescent="0.25">
      <c r="C1868" s="2"/>
      <c r="D1868" s="2"/>
    </row>
    <row r="1869" spans="3:4" x14ac:dyDescent="0.25">
      <c r="C1869" s="2"/>
      <c r="D1869" s="2"/>
    </row>
    <row r="1870" spans="3:4" x14ac:dyDescent="0.25">
      <c r="C1870" s="2"/>
      <c r="D1870" s="2"/>
    </row>
    <row r="1871" spans="3:4" x14ac:dyDescent="0.25">
      <c r="C1871" s="2"/>
      <c r="D1871" s="2"/>
    </row>
    <row r="1872" spans="3:4" x14ac:dyDescent="0.25">
      <c r="C1872" s="2"/>
      <c r="D1872" s="2"/>
    </row>
    <row r="1873" spans="3:4" x14ac:dyDescent="0.25">
      <c r="C1873" s="2"/>
      <c r="D1873" s="2"/>
    </row>
    <row r="1874" spans="3:4" x14ac:dyDescent="0.25">
      <c r="C1874" s="2"/>
      <c r="D1874" s="2"/>
    </row>
    <row r="1875" spans="3:4" x14ac:dyDescent="0.25">
      <c r="C1875" s="2"/>
      <c r="D1875" s="2"/>
    </row>
    <row r="1876" spans="3:4" x14ac:dyDescent="0.25">
      <c r="C1876" s="2"/>
      <c r="D1876" s="2"/>
    </row>
    <row r="1877" spans="3:4" x14ac:dyDescent="0.25">
      <c r="C1877" s="2"/>
      <c r="D1877" s="2"/>
    </row>
    <row r="1878" spans="3:4" x14ac:dyDescent="0.25">
      <c r="C1878" s="2"/>
      <c r="D1878" s="2"/>
    </row>
    <row r="1879" spans="3:4" x14ac:dyDescent="0.25">
      <c r="C1879" s="2"/>
      <c r="D1879" s="2"/>
    </row>
    <row r="1880" spans="3:4" x14ac:dyDescent="0.25">
      <c r="C1880" s="2"/>
      <c r="D1880" s="2"/>
    </row>
    <row r="1881" spans="3:4" x14ac:dyDescent="0.25">
      <c r="C1881" s="2"/>
      <c r="D1881" s="2"/>
    </row>
    <row r="1882" spans="3:4" x14ac:dyDescent="0.25">
      <c r="C1882" s="2"/>
      <c r="D1882" s="2"/>
    </row>
    <row r="1883" spans="3:4" x14ac:dyDescent="0.25">
      <c r="C1883" s="2"/>
      <c r="D1883" s="2"/>
    </row>
    <row r="1884" spans="3:4" x14ac:dyDescent="0.25">
      <c r="C1884" s="2"/>
      <c r="D1884" s="2"/>
    </row>
    <row r="1885" spans="3:4" x14ac:dyDescent="0.25">
      <c r="C1885" s="2"/>
      <c r="D1885" s="2"/>
    </row>
    <row r="1886" spans="3:4" x14ac:dyDescent="0.25">
      <c r="C1886" s="2"/>
      <c r="D1886" s="2"/>
    </row>
    <row r="1887" spans="3:4" x14ac:dyDescent="0.25">
      <c r="C1887" s="2"/>
      <c r="D1887" s="2"/>
    </row>
    <row r="1888" spans="3:4" x14ac:dyDescent="0.25">
      <c r="C1888" s="2"/>
      <c r="D1888" s="2"/>
    </row>
    <row r="1889" spans="3:4" x14ac:dyDescent="0.25">
      <c r="C1889" s="2"/>
      <c r="D1889" s="2"/>
    </row>
    <row r="1890" spans="3:4" x14ac:dyDescent="0.25">
      <c r="C1890" s="2"/>
      <c r="D1890" s="2"/>
    </row>
    <row r="1891" spans="3:4" x14ac:dyDescent="0.25">
      <c r="C1891" s="2"/>
      <c r="D1891" s="2"/>
    </row>
    <row r="1892" spans="3:4" x14ac:dyDescent="0.25">
      <c r="C1892" s="2"/>
      <c r="D1892" s="2"/>
    </row>
    <row r="1893" spans="3:4" x14ac:dyDescent="0.25">
      <c r="C1893" s="2"/>
      <c r="D1893" s="2"/>
    </row>
    <row r="1894" spans="3:4" x14ac:dyDescent="0.25">
      <c r="C1894" s="2"/>
      <c r="D1894" s="2"/>
    </row>
    <row r="1895" spans="3:4" x14ac:dyDescent="0.25">
      <c r="C1895" s="2"/>
      <c r="D1895" s="2"/>
    </row>
    <row r="1896" spans="3:4" x14ac:dyDescent="0.25">
      <c r="C1896" s="2"/>
      <c r="D1896" s="2"/>
    </row>
    <row r="1897" spans="3:4" x14ac:dyDescent="0.25">
      <c r="C1897" s="2"/>
      <c r="D1897" s="2"/>
    </row>
    <row r="1898" spans="3:4" x14ac:dyDescent="0.25">
      <c r="C1898" s="2"/>
      <c r="D1898" s="2"/>
    </row>
    <row r="1899" spans="3:4" x14ac:dyDescent="0.25">
      <c r="C1899" s="2"/>
      <c r="D1899" s="2"/>
    </row>
    <row r="1900" spans="3:4" x14ac:dyDescent="0.25">
      <c r="C1900" s="2"/>
      <c r="D1900" s="2"/>
    </row>
    <row r="1901" spans="3:4" x14ac:dyDescent="0.25">
      <c r="C1901" s="2"/>
      <c r="D1901" s="2"/>
    </row>
    <row r="1902" spans="3:4" x14ac:dyDescent="0.25">
      <c r="C1902" s="2"/>
      <c r="D1902" s="2"/>
    </row>
    <row r="1903" spans="3:4" x14ac:dyDescent="0.25">
      <c r="C1903" s="2"/>
      <c r="D1903" s="2"/>
    </row>
    <row r="1904" spans="3:4" x14ac:dyDescent="0.25">
      <c r="C1904" s="2"/>
      <c r="D1904" s="2"/>
    </row>
    <row r="1905" spans="3:4" x14ac:dyDescent="0.25">
      <c r="C1905" s="2"/>
      <c r="D1905" s="2"/>
    </row>
    <row r="1906" spans="3:4" x14ac:dyDescent="0.25">
      <c r="C1906" s="2"/>
      <c r="D1906" s="2"/>
    </row>
    <row r="1907" spans="3:4" x14ac:dyDescent="0.25">
      <c r="C1907" s="2"/>
      <c r="D1907" s="2"/>
    </row>
    <row r="1908" spans="3:4" x14ac:dyDescent="0.25">
      <c r="C1908" s="2"/>
      <c r="D1908" s="2"/>
    </row>
    <row r="1909" spans="3:4" x14ac:dyDescent="0.25">
      <c r="C1909" s="2"/>
      <c r="D1909" s="2"/>
    </row>
    <row r="1910" spans="3:4" x14ac:dyDescent="0.25">
      <c r="C1910" s="2"/>
      <c r="D1910" s="2"/>
    </row>
    <row r="1911" spans="3:4" x14ac:dyDescent="0.25">
      <c r="C1911" s="2"/>
      <c r="D1911" s="2"/>
    </row>
    <row r="1912" spans="3:4" x14ac:dyDescent="0.25">
      <c r="C1912" s="2"/>
      <c r="D1912" s="2"/>
    </row>
    <row r="1913" spans="3:4" x14ac:dyDescent="0.25">
      <c r="C1913" s="2"/>
      <c r="D1913" s="2"/>
    </row>
    <row r="1914" spans="3:4" x14ac:dyDescent="0.25">
      <c r="C1914" s="2"/>
      <c r="D1914" s="2"/>
    </row>
    <row r="1915" spans="3:4" x14ac:dyDescent="0.25">
      <c r="C1915" s="2"/>
      <c r="D1915" s="2"/>
    </row>
    <row r="1916" spans="3:4" x14ac:dyDescent="0.25">
      <c r="C1916" s="2"/>
      <c r="D1916" s="2"/>
    </row>
    <row r="1917" spans="3:4" x14ac:dyDescent="0.25">
      <c r="C1917" s="2"/>
      <c r="D1917" s="2"/>
    </row>
    <row r="1918" spans="3:4" x14ac:dyDescent="0.25">
      <c r="C1918" s="2"/>
      <c r="D1918" s="2"/>
    </row>
    <row r="1919" spans="3:4" x14ac:dyDescent="0.25">
      <c r="C1919" s="2"/>
      <c r="D1919" s="2"/>
    </row>
    <row r="1920" spans="3:4" x14ac:dyDescent="0.25">
      <c r="C1920" s="2"/>
      <c r="D1920" s="2"/>
    </row>
    <row r="1921" spans="3:4" x14ac:dyDescent="0.25">
      <c r="C1921" s="2"/>
      <c r="D1921" s="2"/>
    </row>
    <row r="1922" spans="3:4" x14ac:dyDescent="0.25">
      <c r="C1922" s="2"/>
      <c r="D1922" s="2"/>
    </row>
    <row r="1923" spans="3:4" x14ac:dyDescent="0.25">
      <c r="C1923" s="2"/>
      <c r="D1923" s="2"/>
    </row>
    <row r="1924" spans="3:4" x14ac:dyDescent="0.25">
      <c r="C1924" s="2"/>
      <c r="D1924" s="2"/>
    </row>
    <row r="1925" spans="3:4" x14ac:dyDescent="0.25">
      <c r="C1925" s="2"/>
      <c r="D1925" s="2"/>
    </row>
    <row r="1926" spans="3:4" x14ac:dyDescent="0.25">
      <c r="C1926" s="2"/>
      <c r="D1926" s="2"/>
    </row>
    <row r="1927" spans="3:4" x14ac:dyDescent="0.25">
      <c r="C1927" s="2"/>
      <c r="D1927" s="2"/>
    </row>
    <row r="1928" spans="3:4" x14ac:dyDescent="0.25">
      <c r="C1928" s="2"/>
      <c r="D1928" s="2"/>
    </row>
    <row r="1929" spans="3:4" x14ac:dyDescent="0.25">
      <c r="C1929" s="2"/>
      <c r="D1929" s="2"/>
    </row>
    <row r="1930" spans="3:4" x14ac:dyDescent="0.25">
      <c r="C1930" s="2"/>
      <c r="D1930" s="2"/>
    </row>
    <row r="1931" spans="3:4" x14ac:dyDescent="0.25">
      <c r="C1931" s="2"/>
      <c r="D1931" s="2"/>
    </row>
    <row r="1932" spans="3:4" x14ac:dyDescent="0.25">
      <c r="C1932" s="2"/>
      <c r="D1932" s="2"/>
    </row>
    <row r="1933" spans="3:4" x14ac:dyDescent="0.25">
      <c r="C1933" s="2"/>
      <c r="D1933" s="2"/>
    </row>
    <row r="1934" spans="3:4" x14ac:dyDescent="0.25">
      <c r="C1934" s="2"/>
      <c r="D1934" s="2"/>
    </row>
    <row r="1935" spans="3:4" x14ac:dyDescent="0.25">
      <c r="C1935" s="2"/>
      <c r="D1935" s="2"/>
    </row>
    <row r="1936" spans="3:4" x14ac:dyDescent="0.25">
      <c r="C1936" s="2"/>
      <c r="D1936" s="2"/>
    </row>
    <row r="1937" spans="3:4" x14ac:dyDescent="0.25">
      <c r="C1937" s="2"/>
      <c r="D1937" s="2"/>
    </row>
    <row r="1938" spans="3:4" x14ac:dyDescent="0.25">
      <c r="C1938" s="2"/>
      <c r="D1938" s="2"/>
    </row>
    <row r="1939" spans="3:4" x14ac:dyDescent="0.25">
      <c r="C1939" s="2"/>
      <c r="D1939" s="2"/>
    </row>
    <row r="1940" spans="3:4" x14ac:dyDescent="0.25">
      <c r="C1940" s="2"/>
      <c r="D1940" s="2"/>
    </row>
    <row r="1941" spans="3:4" x14ac:dyDescent="0.25">
      <c r="C1941" s="2"/>
      <c r="D1941" s="2"/>
    </row>
    <row r="1942" spans="3:4" x14ac:dyDescent="0.25">
      <c r="C1942" s="2"/>
      <c r="D1942" s="2"/>
    </row>
    <row r="1943" spans="3:4" x14ac:dyDescent="0.25">
      <c r="C1943" s="2"/>
      <c r="D1943" s="2"/>
    </row>
    <row r="1944" spans="3:4" x14ac:dyDescent="0.25">
      <c r="C1944" s="2"/>
      <c r="D1944" s="2"/>
    </row>
    <row r="1945" spans="3:4" x14ac:dyDescent="0.25">
      <c r="C1945" s="2"/>
      <c r="D1945" s="2"/>
    </row>
    <row r="1946" spans="3:4" x14ac:dyDescent="0.25">
      <c r="C1946" s="2"/>
      <c r="D1946" s="2"/>
    </row>
    <row r="1947" spans="3:4" x14ac:dyDescent="0.25">
      <c r="C1947" s="2"/>
      <c r="D1947" s="2"/>
    </row>
    <row r="1948" spans="3:4" x14ac:dyDescent="0.25">
      <c r="C1948" s="2"/>
      <c r="D1948" s="2"/>
    </row>
    <row r="1949" spans="3:4" x14ac:dyDescent="0.25">
      <c r="C1949" s="2"/>
      <c r="D1949" s="2"/>
    </row>
    <row r="1950" spans="3:4" x14ac:dyDescent="0.25">
      <c r="C1950" s="2"/>
      <c r="D1950" s="2"/>
    </row>
    <row r="1951" spans="3:4" x14ac:dyDescent="0.25">
      <c r="C1951" s="2"/>
      <c r="D1951" s="2"/>
    </row>
    <row r="1952" spans="3:4" x14ac:dyDescent="0.25">
      <c r="C1952" s="2"/>
      <c r="D1952" s="2"/>
    </row>
    <row r="1953" spans="3:4" x14ac:dyDescent="0.25">
      <c r="C1953" s="2"/>
      <c r="D1953" s="2"/>
    </row>
    <row r="1954" spans="3:4" x14ac:dyDescent="0.25">
      <c r="C1954" s="2"/>
      <c r="D1954" s="2"/>
    </row>
    <row r="1955" spans="3:4" x14ac:dyDescent="0.25">
      <c r="C1955" s="2"/>
      <c r="D1955" s="2"/>
    </row>
    <row r="1956" spans="3:4" x14ac:dyDescent="0.25">
      <c r="C1956" s="2"/>
      <c r="D1956" s="2"/>
    </row>
    <row r="1957" spans="3:4" x14ac:dyDescent="0.25">
      <c r="C1957" s="2"/>
      <c r="D1957" s="2"/>
    </row>
    <row r="1958" spans="3:4" x14ac:dyDescent="0.25">
      <c r="C1958" s="2"/>
      <c r="D1958" s="2"/>
    </row>
    <row r="1959" spans="3:4" x14ac:dyDescent="0.25">
      <c r="C1959" s="2"/>
      <c r="D1959" s="2"/>
    </row>
    <row r="1960" spans="3:4" x14ac:dyDescent="0.25">
      <c r="C1960" s="2"/>
      <c r="D1960" s="2"/>
    </row>
    <row r="1961" spans="3:4" x14ac:dyDescent="0.25">
      <c r="C1961" s="2"/>
      <c r="D1961" s="2"/>
    </row>
    <row r="1962" spans="3:4" x14ac:dyDescent="0.25">
      <c r="C1962" s="2"/>
      <c r="D1962" s="2"/>
    </row>
    <row r="1963" spans="3:4" x14ac:dyDescent="0.25">
      <c r="C1963" s="2"/>
      <c r="D1963" s="2"/>
    </row>
    <row r="1964" spans="3:4" x14ac:dyDescent="0.25">
      <c r="C1964" s="2"/>
      <c r="D1964" s="2"/>
    </row>
    <row r="1965" spans="3:4" x14ac:dyDescent="0.25">
      <c r="C1965" s="2"/>
      <c r="D1965" s="2"/>
    </row>
    <row r="1966" spans="3:4" x14ac:dyDescent="0.25">
      <c r="C1966" s="2"/>
      <c r="D1966" s="2"/>
    </row>
    <row r="1967" spans="3:4" x14ac:dyDescent="0.25">
      <c r="C1967" s="2"/>
      <c r="D1967" s="2"/>
    </row>
    <row r="1968" spans="3:4" x14ac:dyDescent="0.25">
      <c r="C1968" s="2"/>
      <c r="D1968" s="2"/>
    </row>
    <row r="1969" spans="3:4" x14ac:dyDescent="0.25">
      <c r="C1969" s="2"/>
      <c r="D1969" s="2"/>
    </row>
    <row r="1970" spans="3:4" x14ac:dyDescent="0.25">
      <c r="C1970" s="2"/>
      <c r="D1970" s="2"/>
    </row>
    <row r="1971" spans="3:4" x14ac:dyDescent="0.25">
      <c r="C1971" s="2"/>
      <c r="D1971" s="2"/>
    </row>
    <row r="1972" spans="3:4" x14ac:dyDescent="0.25">
      <c r="C1972" s="2"/>
      <c r="D1972" s="2"/>
    </row>
    <row r="1973" spans="3:4" x14ac:dyDescent="0.25">
      <c r="C1973" s="2"/>
      <c r="D1973" s="2"/>
    </row>
    <row r="1974" spans="3:4" x14ac:dyDescent="0.25">
      <c r="C1974" s="2"/>
      <c r="D1974" s="2"/>
    </row>
    <row r="1975" spans="3:4" x14ac:dyDescent="0.25">
      <c r="C1975" s="2"/>
      <c r="D1975" s="2"/>
    </row>
    <row r="1976" spans="3:4" x14ac:dyDescent="0.25">
      <c r="C1976" s="2"/>
      <c r="D1976" s="2"/>
    </row>
    <row r="1977" spans="3:4" x14ac:dyDescent="0.25">
      <c r="C1977" s="2"/>
      <c r="D1977" s="2"/>
    </row>
    <row r="1978" spans="3:4" x14ac:dyDescent="0.25">
      <c r="C1978" s="2"/>
      <c r="D1978" s="2"/>
    </row>
    <row r="1979" spans="3:4" x14ac:dyDescent="0.25">
      <c r="C1979" s="2"/>
      <c r="D1979" s="2"/>
    </row>
    <row r="1980" spans="3:4" x14ac:dyDescent="0.25">
      <c r="C1980" s="2"/>
      <c r="D1980" s="2"/>
    </row>
    <row r="1981" spans="3:4" x14ac:dyDescent="0.25">
      <c r="C1981" s="2"/>
      <c r="D1981" s="2"/>
    </row>
    <row r="1982" spans="3:4" x14ac:dyDescent="0.25">
      <c r="C1982" s="2"/>
      <c r="D1982" s="2"/>
    </row>
    <row r="1983" spans="3:4" x14ac:dyDescent="0.25">
      <c r="C1983" s="2"/>
      <c r="D1983" s="2"/>
    </row>
    <row r="1984" spans="3:4" x14ac:dyDescent="0.25">
      <c r="C1984" s="2"/>
      <c r="D1984" s="2"/>
    </row>
    <row r="1985" spans="3:4" x14ac:dyDescent="0.25">
      <c r="C1985" s="2"/>
      <c r="D1985" s="2"/>
    </row>
    <row r="1986" spans="3:4" x14ac:dyDescent="0.25">
      <c r="C1986" s="2"/>
      <c r="D1986" s="2"/>
    </row>
    <row r="1987" spans="3:4" x14ac:dyDescent="0.25">
      <c r="C1987" s="2"/>
      <c r="D1987" s="2"/>
    </row>
    <row r="1988" spans="3:4" x14ac:dyDescent="0.25">
      <c r="C1988" s="2"/>
      <c r="D1988" s="2"/>
    </row>
    <row r="1989" spans="3:4" x14ac:dyDescent="0.25">
      <c r="C1989" s="2"/>
      <c r="D1989" s="2"/>
    </row>
    <row r="1990" spans="3:4" x14ac:dyDescent="0.25">
      <c r="C1990" s="2"/>
      <c r="D1990" s="2"/>
    </row>
    <row r="1991" spans="3:4" x14ac:dyDescent="0.25">
      <c r="C1991" s="2"/>
      <c r="D1991" s="2"/>
    </row>
    <row r="1992" spans="3:4" x14ac:dyDescent="0.25">
      <c r="C1992" s="2"/>
      <c r="D1992" s="2"/>
    </row>
    <row r="1993" spans="3:4" x14ac:dyDescent="0.25">
      <c r="C1993" s="2"/>
      <c r="D1993" s="2"/>
    </row>
    <row r="1994" spans="3:4" x14ac:dyDescent="0.25">
      <c r="C1994" s="2"/>
      <c r="D1994" s="2"/>
    </row>
    <row r="1995" spans="3:4" x14ac:dyDescent="0.25">
      <c r="C1995" s="2"/>
      <c r="D1995" s="2"/>
    </row>
    <row r="1996" spans="3:4" x14ac:dyDescent="0.25">
      <c r="C1996" s="2"/>
      <c r="D1996" s="2"/>
    </row>
    <row r="1997" spans="3:4" x14ac:dyDescent="0.25">
      <c r="C1997" s="2"/>
      <c r="D1997" s="2"/>
    </row>
    <row r="1998" spans="3:4" x14ac:dyDescent="0.25">
      <c r="C1998" s="2"/>
      <c r="D1998" s="2"/>
    </row>
    <row r="1999" spans="3:4" x14ac:dyDescent="0.25">
      <c r="C1999" s="2"/>
      <c r="D1999" s="2"/>
    </row>
    <row r="2000" spans="3:4" x14ac:dyDescent="0.25">
      <c r="C2000" s="2"/>
      <c r="D2000" s="2"/>
    </row>
    <row r="2001" spans="3:4" x14ac:dyDescent="0.25">
      <c r="C2001" s="2"/>
      <c r="D2001" s="2"/>
    </row>
    <row r="2002" spans="3:4" x14ac:dyDescent="0.25">
      <c r="C2002" s="2"/>
      <c r="D2002" s="2"/>
    </row>
    <row r="2003" spans="3:4" x14ac:dyDescent="0.25">
      <c r="C2003" s="2"/>
      <c r="D2003" s="2"/>
    </row>
    <row r="2004" spans="3:4" x14ac:dyDescent="0.25">
      <c r="C2004" s="2"/>
      <c r="D2004" s="2"/>
    </row>
    <row r="2005" spans="3:4" x14ac:dyDescent="0.25">
      <c r="C2005" s="2"/>
      <c r="D2005" s="2"/>
    </row>
    <row r="2006" spans="3:4" x14ac:dyDescent="0.25">
      <c r="C2006" s="2"/>
      <c r="D2006" s="2"/>
    </row>
    <row r="2007" spans="3:4" x14ac:dyDescent="0.25">
      <c r="C2007" s="2"/>
      <c r="D2007" s="2"/>
    </row>
    <row r="2008" spans="3:4" x14ac:dyDescent="0.25">
      <c r="C2008" s="2"/>
      <c r="D2008" s="2"/>
    </row>
    <row r="2009" spans="3:4" x14ac:dyDescent="0.25">
      <c r="C2009" s="2"/>
      <c r="D2009" s="2"/>
    </row>
    <row r="2010" spans="3:4" x14ac:dyDescent="0.25">
      <c r="C2010" s="2"/>
      <c r="D2010" s="2"/>
    </row>
    <row r="2011" spans="3:4" x14ac:dyDescent="0.25">
      <c r="C2011" s="2"/>
      <c r="D2011" s="2"/>
    </row>
    <row r="2012" spans="3:4" x14ac:dyDescent="0.25">
      <c r="C2012" s="2"/>
      <c r="D2012" s="2"/>
    </row>
    <row r="2013" spans="3:4" x14ac:dyDescent="0.25">
      <c r="C2013" s="2"/>
      <c r="D2013" s="2"/>
    </row>
    <row r="2014" spans="3:4" x14ac:dyDescent="0.25">
      <c r="C2014" s="2"/>
      <c r="D2014" s="2"/>
    </row>
    <row r="2015" spans="3:4" x14ac:dyDescent="0.25">
      <c r="C2015" s="2"/>
      <c r="D2015" s="2"/>
    </row>
    <row r="2016" spans="3:4" x14ac:dyDescent="0.25">
      <c r="C2016" s="2"/>
      <c r="D2016" s="2"/>
    </row>
    <row r="2017" spans="3:4" x14ac:dyDescent="0.25">
      <c r="C2017" s="2"/>
      <c r="D2017" s="2"/>
    </row>
    <row r="2018" spans="3:4" x14ac:dyDescent="0.25">
      <c r="C2018" s="2"/>
      <c r="D2018" s="2"/>
    </row>
    <row r="2019" spans="3:4" x14ac:dyDescent="0.25">
      <c r="C2019" s="2"/>
      <c r="D2019" s="2"/>
    </row>
    <row r="2020" spans="3:4" x14ac:dyDescent="0.25">
      <c r="C2020" s="2"/>
      <c r="D2020" s="2"/>
    </row>
    <row r="2021" spans="3:4" x14ac:dyDescent="0.25">
      <c r="C2021" s="2"/>
      <c r="D2021" s="2"/>
    </row>
    <row r="2022" spans="3:4" x14ac:dyDescent="0.25">
      <c r="C2022" s="2"/>
      <c r="D2022" s="2"/>
    </row>
    <row r="2023" spans="3:4" x14ac:dyDescent="0.25">
      <c r="C2023" s="2"/>
      <c r="D2023" s="2"/>
    </row>
    <row r="2024" spans="3:4" x14ac:dyDescent="0.25">
      <c r="C2024" s="2"/>
      <c r="D2024" s="2"/>
    </row>
    <row r="2025" spans="3:4" x14ac:dyDescent="0.25">
      <c r="C2025" s="2"/>
      <c r="D2025" s="2"/>
    </row>
    <row r="2026" spans="3:4" x14ac:dyDescent="0.25">
      <c r="C2026" s="2"/>
      <c r="D2026" s="2"/>
    </row>
    <row r="2027" spans="3:4" x14ac:dyDescent="0.25">
      <c r="C2027" s="2"/>
      <c r="D2027" s="2"/>
    </row>
    <row r="2028" spans="3:4" x14ac:dyDescent="0.25">
      <c r="C2028" s="2"/>
      <c r="D2028" s="2"/>
    </row>
    <row r="2029" spans="3:4" x14ac:dyDescent="0.25">
      <c r="C2029" s="2"/>
      <c r="D2029" s="2"/>
    </row>
    <row r="2030" spans="3:4" x14ac:dyDescent="0.25">
      <c r="C2030" s="2"/>
      <c r="D2030" s="2"/>
    </row>
    <row r="2031" spans="3:4" x14ac:dyDescent="0.25">
      <c r="C2031" s="2"/>
      <c r="D2031" s="2"/>
    </row>
    <row r="2032" spans="3:4" x14ac:dyDescent="0.25">
      <c r="C2032" s="2"/>
      <c r="D2032" s="2"/>
    </row>
    <row r="2033" spans="3:4" x14ac:dyDescent="0.25">
      <c r="C2033" s="2"/>
      <c r="D2033" s="2"/>
    </row>
    <row r="2034" spans="3:4" x14ac:dyDescent="0.25">
      <c r="C2034" s="2"/>
      <c r="D2034" s="2"/>
    </row>
    <row r="2035" spans="3:4" x14ac:dyDescent="0.25">
      <c r="C2035" s="2"/>
      <c r="D2035" s="2"/>
    </row>
    <row r="2036" spans="3:4" x14ac:dyDescent="0.25">
      <c r="C2036" s="2"/>
      <c r="D2036" s="2"/>
    </row>
    <row r="2037" spans="3:4" x14ac:dyDescent="0.25">
      <c r="C2037" s="2"/>
      <c r="D2037" s="2"/>
    </row>
    <row r="2038" spans="3:4" x14ac:dyDescent="0.25">
      <c r="C2038" s="2"/>
      <c r="D2038" s="2"/>
    </row>
    <row r="2039" spans="3:4" x14ac:dyDescent="0.25">
      <c r="C2039" s="2"/>
      <c r="D2039" s="2"/>
    </row>
    <row r="2040" spans="3:4" x14ac:dyDescent="0.25">
      <c r="C2040" s="2"/>
      <c r="D2040" s="2"/>
    </row>
    <row r="2041" spans="3:4" x14ac:dyDescent="0.25">
      <c r="C2041" s="2"/>
      <c r="D2041" s="2"/>
    </row>
    <row r="2042" spans="3:4" x14ac:dyDescent="0.25">
      <c r="C2042" s="2"/>
      <c r="D2042" s="2"/>
    </row>
    <row r="2043" spans="3:4" x14ac:dyDescent="0.25">
      <c r="C2043" s="2"/>
      <c r="D2043" s="2"/>
    </row>
    <row r="2044" spans="3:4" x14ac:dyDescent="0.25">
      <c r="C2044" s="2"/>
      <c r="D2044" s="2"/>
    </row>
    <row r="2045" spans="3:4" x14ac:dyDescent="0.25">
      <c r="C2045" s="2"/>
      <c r="D2045" s="2"/>
    </row>
    <row r="2046" spans="3:4" x14ac:dyDescent="0.25">
      <c r="C2046" s="2"/>
      <c r="D2046" s="2"/>
    </row>
    <row r="2047" spans="3:4" x14ac:dyDescent="0.25">
      <c r="C2047" s="2"/>
      <c r="D2047" s="2"/>
    </row>
    <row r="2048" spans="3:4" x14ac:dyDescent="0.25">
      <c r="C2048" s="2"/>
      <c r="D2048" s="2"/>
    </row>
    <row r="2049" spans="3:4" x14ac:dyDescent="0.25">
      <c r="C2049" s="2"/>
      <c r="D2049" s="2"/>
    </row>
    <row r="2050" spans="3:4" x14ac:dyDescent="0.25">
      <c r="C2050" s="2"/>
      <c r="D2050" s="2"/>
    </row>
    <row r="2051" spans="3:4" x14ac:dyDescent="0.25">
      <c r="C2051" s="2"/>
      <c r="D2051" s="2"/>
    </row>
    <row r="2052" spans="3:4" x14ac:dyDescent="0.25">
      <c r="C2052" s="2"/>
      <c r="D2052" s="2"/>
    </row>
    <row r="2053" spans="3:4" x14ac:dyDescent="0.25">
      <c r="C2053" s="2"/>
      <c r="D2053" s="2"/>
    </row>
    <row r="2054" spans="3:4" x14ac:dyDescent="0.25">
      <c r="C2054" s="2"/>
      <c r="D2054" s="2"/>
    </row>
    <row r="2055" spans="3:4" x14ac:dyDescent="0.25">
      <c r="C2055" s="2"/>
      <c r="D2055" s="2"/>
    </row>
    <row r="2056" spans="3:4" x14ac:dyDescent="0.25">
      <c r="C2056" s="2"/>
      <c r="D2056" s="2"/>
    </row>
    <row r="2057" spans="3:4" x14ac:dyDescent="0.25">
      <c r="C2057" s="2"/>
      <c r="D2057" s="2"/>
    </row>
    <row r="2058" spans="3:4" x14ac:dyDescent="0.25">
      <c r="C2058" s="2"/>
      <c r="D2058" s="2"/>
    </row>
    <row r="2059" spans="3:4" x14ac:dyDescent="0.25">
      <c r="C2059" s="2"/>
      <c r="D2059" s="2"/>
    </row>
    <row r="2060" spans="3:4" x14ac:dyDescent="0.25">
      <c r="C2060" s="2"/>
      <c r="D2060" s="2"/>
    </row>
    <row r="2061" spans="3:4" x14ac:dyDescent="0.25">
      <c r="C2061" s="2"/>
      <c r="D2061" s="2"/>
    </row>
    <row r="2062" spans="3:4" x14ac:dyDescent="0.25">
      <c r="C2062" s="2"/>
      <c r="D2062" s="2"/>
    </row>
    <row r="2063" spans="3:4" x14ac:dyDescent="0.25">
      <c r="C2063" s="2"/>
      <c r="D2063" s="2"/>
    </row>
    <row r="2064" spans="3:4" x14ac:dyDescent="0.25">
      <c r="C2064" s="2"/>
      <c r="D2064" s="2"/>
    </row>
    <row r="2065" spans="3:4" x14ac:dyDescent="0.25">
      <c r="C2065" s="2"/>
      <c r="D2065" s="2"/>
    </row>
    <row r="2066" spans="3:4" x14ac:dyDescent="0.25">
      <c r="C2066" s="2"/>
      <c r="D2066" s="2"/>
    </row>
    <row r="2067" spans="3:4" x14ac:dyDescent="0.25">
      <c r="C2067" s="2"/>
      <c r="D2067" s="2"/>
    </row>
    <row r="2068" spans="3:4" x14ac:dyDescent="0.25">
      <c r="C2068" s="2"/>
      <c r="D2068" s="2"/>
    </row>
    <row r="2069" spans="3:4" x14ac:dyDescent="0.25">
      <c r="C2069" s="2"/>
      <c r="D2069" s="2"/>
    </row>
    <row r="2070" spans="3:4" x14ac:dyDescent="0.25">
      <c r="C2070" s="2"/>
      <c r="D2070" s="2"/>
    </row>
    <row r="2071" spans="3:4" x14ac:dyDescent="0.25">
      <c r="C2071" s="2"/>
      <c r="D2071" s="2"/>
    </row>
    <row r="2072" spans="3:4" x14ac:dyDescent="0.25">
      <c r="C2072" s="2"/>
      <c r="D2072" s="2"/>
    </row>
    <row r="2073" spans="3:4" x14ac:dyDescent="0.25">
      <c r="C2073" s="2"/>
      <c r="D2073" s="2"/>
    </row>
    <row r="2074" spans="3:4" x14ac:dyDescent="0.25">
      <c r="C2074" s="2"/>
      <c r="D2074" s="2"/>
    </row>
    <row r="2075" spans="3:4" x14ac:dyDescent="0.25">
      <c r="C2075" s="2"/>
      <c r="D2075" s="2"/>
    </row>
    <row r="2076" spans="3:4" x14ac:dyDescent="0.25">
      <c r="C2076" s="2"/>
      <c r="D2076" s="2"/>
    </row>
    <row r="2077" spans="3:4" x14ac:dyDescent="0.25">
      <c r="C2077" s="2"/>
      <c r="D2077" s="2"/>
    </row>
    <row r="2078" spans="3:4" x14ac:dyDescent="0.25">
      <c r="C2078" s="2"/>
      <c r="D2078" s="2"/>
    </row>
    <row r="2079" spans="3:4" x14ac:dyDescent="0.25">
      <c r="C2079" s="2"/>
      <c r="D2079" s="2"/>
    </row>
    <row r="2080" spans="3:4" x14ac:dyDescent="0.25">
      <c r="C2080" s="2"/>
      <c r="D2080" s="2"/>
    </row>
    <row r="2081" spans="3:4" x14ac:dyDescent="0.25">
      <c r="C2081" s="2"/>
      <c r="D2081" s="2"/>
    </row>
    <row r="2082" spans="3:4" x14ac:dyDescent="0.25">
      <c r="C2082" s="2"/>
      <c r="D2082" s="2"/>
    </row>
    <row r="2083" spans="3:4" x14ac:dyDescent="0.25">
      <c r="C2083" s="2"/>
      <c r="D2083" s="2"/>
    </row>
    <row r="2084" spans="3:4" x14ac:dyDescent="0.25">
      <c r="C2084" s="2"/>
      <c r="D2084" s="2"/>
    </row>
    <row r="2085" spans="3:4" x14ac:dyDescent="0.25">
      <c r="C2085" s="2"/>
      <c r="D2085" s="2"/>
    </row>
    <row r="2086" spans="3:4" x14ac:dyDescent="0.25">
      <c r="C2086" s="2"/>
      <c r="D2086" s="2"/>
    </row>
    <row r="2087" spans="3:4" x14ac:dyDescent="0.25">
      <c r="C2087" s="2"/>
      <c r="D2087" s="2"/>
    </row>
    <row r="2088" spans="3:4" x14ac:dyDescent="0.25">
      <c r="C2088" s="2"/>
      <c r="D2088" s="2"/>
    </row>
    <row r="2089" spans="3:4" x14ac:dyDescent="0.25">
      <c r="C2089" s="2"/>
      <c r="D2089" s="2"/>
    </row>
    <row r="2090" spans="3:4" x14ac:dyDescent="0.25">
      <c r="C2090" s="2"/>
      <c r="D2090" s="2"/>
    </row>
    <row r="2091" spans="3:4" x14ac:dyDescent="0.25">
      <c r="C2091" s="2"/>
      <c r="D2091" s="2"/>
    </row>
    <row r="2092" spans="3:4" x14ac:dyDescent="0.25">
      <c r="C2092" s="2"/>
      <c r="D2092" s="2"/>
    </row>
    <row r="2093" spans="3:4" x14ac:dyDescent="0.25">
      <c r="C2093" s="2"/>
      <c r="D2093" s="2"/>
    </row>
    <row r="2094" spans="3:4" x14ac:dyDescent="0.25">
      <c r="C2094" s="2"/>
      <c r="D2094" s="2"/>
    </row>
    <row r="2095" spans="3:4" x14ac:dyDescent="0.25">
      <c r="C2095" s="2"/>
      <c r="D2095" s="2"/>
    </row>
    <row r="2096" spans="3:4" x14ac:dyDescent="0.25">
      <c r="C2096" s="2"/>
      <c r="D2096" s="2"/>
    </row>
    <row r="2097" spans="3:4" x14ac:dyDescent="0.25">
      <c r="C2097" s="2"/>
      <c r="D2097" s="2"/>
    </row>
    <row r="2098" spans="3:4" x14ac:dyDescent="0.25">
      <c r="C2098" s="2"/>
      <c r="D2098" s="2"/>
    </row>
    <row r="2099" spans="3:4" x14ac:dyDescent="0.25">
      <c r="C2099" s="2"/>
      <c r="D2099" s="2"/>
    </row>
    <row r="2100" spans="3:4" x14ac:dyDescent="0.25">
      <c r="C2100" s="2"/>
      <c r="D2100" s="2"/>
    </row>
    <row r="2101" spans="3:4" x14ac:dyDescent="0.25">
      <c r="C2101" s="2"/>
      <c r="D2101" s="2"/>
    </row>
    <row r="2102" spans="3:4" x14ac:dyDescent="0.25">
      <c r="C2102" s="2"/>
      <c r="D2102" s="2"/>
    </row>
    <row r="2103" spans="3:4" x14ac:dyDescent="0.25">
      <c r="C2103" s="2"/>
      <c r="D2103" s="2"/>
    </row>
    <row r="2104" spans="3:4" x14ac:dyDescent="0.25">
      <c r="C2104" s="2"/>
      <c r="D2104" s="2"/>
    </row>
    <row r="2105" spans="3:4" x14ac:dyDescent="0.25">
      <c r="C2105" s="2"/>
      <c r="D2105" s="2"/>
    </row>
    <row r="2106" spans="3:4" x14ac:dyDescent="0.25">
      <c r="C2106" s="2"/>
      <c r="D2106" s="2"/>
    </row>
    <row r="2107" spans="3:4" x14ac:dyDescent="0.25">
      <c r="C2107" s="2"/>
      <c r="D2107" s="2"/>
    </row>
    <row r="2108" spans="3:4" x14ac:dyDescent="0.25">
      <c r="C2108" s="2"/>
      <c r="D2108" s="2"/>
    </row>
    <row r="2109" spans="3:4" x14ac:dyDescent="0.25">
      <c r="C2109" s="2"/>
      <c r="D2109" s="2"/>
    </row>
    <row r="2110" spans="3:4" x14ac:dyDescent="0.25">
      <c r="C2110" s="2"/>
      <c r="D2110" s="2"/>
    </row>
    <row r="2111" spans="3:4" x14ac:dyDescent="0.25">
      <c r="C2111" s="2"/>
      <c r="D2111" s="2"/>
    </row>
    <row r="2112" spans="3:4" x14ac:dyDescent="0.25">
      <c r="C2112" s="2"/>
      <c r="D2112" s="2"/>
    </row>
    <row r="2113" spans="3:4" x14ac:dyDescent="0.25">
      <c r="C2113" s="2"/>
      <c r="D2113" s="2"/>
    </row>
    <row r="2114" spans="3:4" x14ac:dyDescent="0.25">
      <c r="C2114" s="2"/>
      <c r="D2114" s="2"/>
    </row>
    <row r="2115" spans="3:4" x14ac:dyDescent="0.25">
      <c r="C2115" s="2"/>
      <c r="D2115" s="2"/>
    </row>
    <row r="2116" spans="3:4" x14ac:dyDescent="0.25">
      <c r="C2116" s="2"/>
      <c r="D2116" s="2"/>
    </row>
    <row r="2117" spans="3:4" x14ac:dyDescent="0.25">
      <c r="C2117" s="2"/>
      <c r="D2117" s="2"/>
    </row>
    <row r="2118" spans="3:4" x14ac:dyDescent="0.25">
      <c r="C2118" s="2"/>
      <c r="D2118" s="2"/>
    </row>
    <row r="2119" spans="3:4" x14ac:dyDescent="0.25">
      <c r="C2119" s="2"/>
      <c r="D2119" s="2"/>
    </row>
    <row r="2120" spans="3:4" x14ac:dyDescent="0.25">
      <c r="C2120" s="2"/>
      <c r="D2120" s="2"/>
    </row>
    <row r="2121" spans="3:4" x14ac:dyDescent="0.25">
      <c r="C2121" s="2"/>
      <c r="D2121" s="2"/>
    </row>
    <row r="2122" spans="3:4" x14ac:dyDescent="0.25">
      <c r="C2122" s="2"/>
      <c r="D2122" s="2"/>
    </row>
    <row r="2123" spans="3:4" x14ac:dyDescent="0.25">
      <c r="C2123" s="2"/>
      <c r="D2123" s="2"/>
    </row>
    <row r="2124" spans="3:4" x14ac:dyDescent="0.25">
      <c r="C2124" s="2"/>
      <c r="D2124" s="2"/>
    </row>
    <row r="2125" spans="3:4" x14ac:dyDescent="0.25">
      <c r="C2125" s="2"/>
      <c r="D2125" s="2"/>
    </row>
    <row r="2126" spans="3:4" x14ac:dyDescent="0.25">
      <c r="C2126" s="2"/>
      <c r="D2126" s="2"/>
    </row>
    <row r="2127" spans="3:4" x14ac:dyDescent="0.25">
      <c r="C2127" s="2"/>
      <c r="D2127" s="2"/>
    </row>
    <row r="2128" spans="3:4" x14ac:dyDescent="0.25">
      <c r="C2128" s="2"/>
      <c r="D2128" s="2"/>
    </row>
    <row r="2129" spans="3:4" x14ac:dyDescent="0.25">
      <c r="C2129" s="2"/>
      <c r="D2129" s="2"/>
    </row>
    <row r="2130" spans="3:4" x14ac:dyDescent="0.25">
      <c r="C2130" s="2"/>
      <c r="D2130" s="2"/>
    </row>
    <row r="2131" spans="3:4" x14ac:dyDescent="0.25">
      <c r="C2131" s="2"/>
      <c r="D2131" s="2"/>
    </row>
    <row r="2132" spans="3:4" x14ac:dyDescent="0.25">
      <c r="C2132" s="2"/>
      <c r="D2132" s="2"/>
    </row>
    <row r="2133" spans="3:4" x14ac:dyDescent="0.25">
      <c r="C2133" s="2"/>
      <c r="D2133" s="2"/>
    </row>
    <row r="2134" spans="3:4" x14ac:dyDescent="0.25">
      <c r="C2134" s="2"/>
      <c r="D2134" s="2"/>
    </row>
    <row r="2135" spans="3:4" x14ac:dyDescent="0.25">
      <c r="C2135" s="2"/>
      <c r="D2135" s="2"/>
    </row>
    <row r="2136" spans="3:4" x14ac:dyDescent="0.25">
      <c r="C2136" s="2"/>
      <c r="D2136" s="2"/>
    </row>
    <row r="2137" spans="3:4" x14ac:dyDescent="0.25">
      <c r="C2137" s="2"/>
      <c r="D2137" s="2"/>
    </row>
    <row r="2138" spans="3:4" x14ac:dyDescent="0.25">
      <c r="C2138" s="2"/>
      <c r="D2138" s="2"/>
    </row>
    <row r="2139" spans="3:4" x14ac:dyDescent="0.25">
      <c r="C2139" s="2"/>
      <c r="D2139" s="2"/>
    </row>
    <row r="2140" spans="3:4" x14ac:dyDescent="0.25">
      <c r="C2140" s="2"/>
      <c r="D2140" s="2"/>
    </row>
    <row r="2141" spans="3:4" x14ac:dyDescent="0.25">
      <c r="C2141" s="2"/>
      <c r="D2141" s="2"/>
    </row>
    <row r="2142" spans="3:4" x14ac:dyDescent="0.25">
      <c r="C2142" s="2"/>
      <c r="D2142" s="2"/>
    </row>
    <row r="2143" spans="3:4" x14ac:dyDescent="0.25">
      <c r="C2143" s="2"/>
      <c r="D2143" s="2"/>
    </row>
    <row r="2144" spans="3:4" x14ac:dyDescent="0.25">
      <c r="C2144" s="2"/>
      <c r="D2144" s="2"/>
    </row>
    <row r="2145" spans="3:4" x14ac:dyDescent="0.25">
      <c r="C2145" s="2"/>
      <c r="D2145" s="2"/>
    </row>
    <row r="2146" spans="3:4" x14ac:dyDescent="0.25">
      <c r="C2146" s="2"/>
      <c r="D2146" s="2"/>
    </row>
    <row r="2147" spans="3:4" x14ac:dyDescent="0.25">
      <c r="C2147" s="2"/>
      <c r="D2147" s="2"/>
    </row>
    <row r="2148" spans="3:4" x14ac:dyDescent="0.25">
      <c r="C2148" s="2"/>
      <c r="D2148" s="2"/>
    </row>
    <row r="2149" spans="3:4" x14ac:dyDescent="0.25">
      <c r="C2149" s="2"/>
      <c r="D2149" s="2"/>
    </row>
    <row r="2150" spans="3:4" x14ac:dyDescent="0.25">
      <c r="C2150" s="2"/>
      <c r="D2150" s="2"/>
    </row>
    <row r="2151" spans="3:4" x14ac:dyDescent="0.25">
      <c r="C2151" s="2"/>
      <c r="D2151" s="2"/>
    </row>
    <row r="2152" spans="3:4" x14ac:dyDescent="0.25">
      <c r="C2152" s="2"/>
      <c r="D2152" s="2"/>
    </row>
    <row r="2153" spans="3:4" x14ac:dyDescent="0.25">
      <c r="C2153" s="2"/>
      <c r="D2153" s="2"/>
    </row>
    <row r="2154" spans="3:4" x14ac:dyDescent="0.25">
      <c r="C2154" s="2"/>
      <c r="D2154" s="2"/>
    </row>
    <row r="2155" spans="3:4" x14ac:dyDescent="0.25">
      <c r="C2155" s="2"/>
      <c r="D2155" s="2"/>
    </row>
    <row r="2156" spans="3:4" x14ac:dyDescent="0.25">
      <c r="C2156" s="2"/>
      <c r="D2156" s="2"/>
    </row>
    <row r="2157" spans="3:4" x14ac:dyDescent="0.25">
      <c r="C2157" s="2"/>
      <c r="D2157" s="2"/>
    </row>
    <row r="2158" spans="3:4" x14ac:dyDescent="0.25">
      <c r="C2158" s="2"/>
      <c r="D2158" s="2"/>
    </row>
    <row r="2159" spans="3:4" x14ac:dyDescent="0.25">
      <c r="C2159" s="2"/>
      <c r="D2159" s="2"/>
    </row>
    <row r="2160" spans="3:4" x14ac:dyDescent="0.25">
      <c r="C2160" s="2"/>
      <c r="D2160" s="2"/>
    </row>
    <row r="2161" spans="3:4" x14ac:dyDescent="0.25">
      <c r="C2161" s="2"/>
      <c r="D2161" s="2"/>
    </row>
    <row r="2162" spans="3:4" x14ac:dyDescent="0.25">
      <c r="C2162" s="2"/>
      <c r="D2162" s="2"/>
    </row>
    <row r="2163" spans="3:4" x14ac:dyDescent="0.25">
      <c r="C2163" s="2"/>
      <c r="D2163" s="2"/>
    </row>
    <row r="2164" spans="3:4" x14ac:dyDescent="0.25">
      <c r="C2164" s="2"/>
      <c r="D2164" s="2"/>
    </row>
    <row r="2165" spans="3:4" x14ac:dyDescent="0.25">
      <c r="C2165" s="2"/>
      <c r="D2165" s="2"/>
    </row>
    <row r="2166" spans="3:4" x14ac:dyDescent="0.25">
      <c r="C2166" s="2"/>
      <c r="D2166" s="2"/>
    </row>
    <row r="2167" spans="3:4" x14ac:dyDescent="0.25">
      <c r="C2167" s="2"/>
      <c r="D2167" s="2"/>
    </row>
    <row r="2168" spans="3:4" x14ac:dyDescent="0.25">
      <c r="C2168" s="2"/>
      <c r="D2168" s="2"/>
    </row>
    <row r="2169" spans="3:4" x14ac:dyDescent="0.25">
      <c r="C2169" s="2"/>
      <c r="D2169" s="2"/>
    </row>
    <row r="2170" spans="3:4" x14ac:dyDescent="0.25">
      <c r="C2170" s="2"/>
      <c r="D2170" s="2"/>
    </row>
    <row r="2171" spans="3:4" x14ac:dyDescent="0.25">
      <c r="C2171" s="2"/>
      <c r="D2171" s="2"/>
    </row>
    <row r="2172" spans="3:4" x14ac:dyDescent="0.25">
      <c r="C2172" s="2"/>
      <c r="D2172" s="2"/>
    </row>
    <row r="2173" spans="3:4" x14ac:dyDescent="0.25">
      <c r="C2173" s="2"/>
      <c r="D2173" s="2"/>
    </row>
    <row r="2174" spans="3:4" x14ac:dyDescent="0.25">
      <c r="C2174" s="2"/>
      <c r="D2174" s="2"/>
    </row>
    <row r="2175" spans="3:4" x14ac:dyDescent="0.25">
      <c r="C2175" s="2"/>
      <c r="D2175" s="2"/>
    </row>
    <row r="2176" spans="3:4" x14ac:dyDescent="0.25">
      <c r="C2176" s="2"/>
      <c r="D2176" s="2"/>
    </row>
    <row r="2177" spans="3:4" x14ac:dyDescent="0.25">
      <c r="C2177" s="2"/>
      <c r="D2177" s="2"/>
    </row>
    <row r="2178" spans="3:4" x14ac:dyDescent="0.25">
      <c r="C2178" s="2"/>
      <c r="D2178" s="2"/>
    </row>
    <row r="2179" spans="3:4" x14ac:dyDescent="0.25">
      <c r="C2179" s="2"/>
      <c r="D2179" s="2"/>
    </row>
    <row r="2180" spans="3:4" x14ac:dyDescent="0.25">
      <c r="C2180" s="2"/>
      <c r="D2180" s="2"/>
    </row>
    <row r="2181" spans="3:4" x14ac:dyDescent="0.25">
      <c r="C2181" s="2"/>
      <c r="D2181" s="2"/>
    </row>
    <row r="2182" spans="3:4" x14ac:dyDescent="0.25">
      <c r="C2182" s="2"/>
      <c r="D2182" s="2"/>
    </row>
    <row r="2183" spans="3:4" x14ac:dyDescent="0.25">
      <c r="C2183" s="2"/>
      <c r="D2183" s="2"/>
    </row>
    <row r="2184" spans="3:4" x14ac:dyDescent="0.25">
      <c r="C2184" s="2"/>
      <c r="D2184" s="2"/>
    </row>
    <row r="2185" spans="3:4" x14ac:dyDescent="0.25">
      <c r="C2185" s="2"/>
      <c r="D2185" s="2"/>
    </row>
    <row r="2186" spans="3:4" x14ac:dyDescent="0.25">
      <c r="C2186" s="2"/>
      <c r="D2186" s="2"/>
    </row>
    <row r="2187" spans="3:4" x14ac:dyDescent="0.25">
      <c r="C2187" s="2"/>
      <c r="D2187" s="2"/>
    </row>
    <row r="2188" spans="3:4" x14ac:dyDescent="0.25">
      <c r="C2188" s="2"/>
      <c r="D2188" s="2"/>
    </row>
    <row r="2189" spans="3:4" x14ac:dyDescent="0.25">
      <c r="C2189" s="2"/>
      <c r="D2189" s="2"/>
    </row>
    <row r="2190" spans="3:4" x14ac:dyDescent="0.25">
      <c r="C2190" s="2"/>
      <c r="D2190" s="2"/>
    </row>
    <row r="2191" spans="3:4" x14ac:dyDescent="0.25">
      <c r="C2191" s="2"/>
      <c r="D2191" s="2"/>
    </row>
    <row r="2192" spans="3:4" x14ac:dyDescent="0.25">
      <c r="C2192" s="2"/>
      <c r="D2192" s="2"/>
    </row>
    <row r="2193" spans="3:4" x14ac:dyDescent="0.25">
      <c r="C2193" s="2"/>
      <c r="D2193" s="2"/>
    </row>
    <row r="2194" spans="3:4" x14ac:dyDescent="0.25">
      <c r="C2194" s="2"/>
      <c r="D2194" s="2"/>
    </row>
    <row r="2195" spans="3:4" x14ac:dyDescent="0.25">
      <c r="C2195" s="2"/>
      <c r="D2195" s="2"/>
    </row>
    <row r="2196" spans="3:4" x14ac:dyDescent="0.25">
      <c r="C2196" s="2"/>
      <c r="D2196" s="2"/>
    </row>
    <row r="2197" spans="3:4" x14ac:dyDescent="0.25">
      <c r="C2197" s="2"/>
      <c r="D2197" s="2"/>
    </row>
    <row r="2198" spans="3:4" x14ac:dyDescent="0.25">
      <c r="C2198" s="2"/>
      <c r="D2198" s="2"/>
    </row>
    <row r="2199" spans="3:4" x14ac:dyDescent="0.25">
      <c r="C2199" s="2"/>
      <c r="D2199" s="2"/>
    </row>
    <row r="2200" spans="3:4" x14ac:dyDescent="0.25">
      <c r="C2200" s="2"/>
      <c r="D2200" s="2"/>
    </row>
    <row r="2201" spans="3:4" x14ac:dyDescent="0.25">
      <c r="C2201" s="2"/>
      <c r="D2201" s="2"/>
    </row>
    <row r="2202" spans="3:4" x14ac:dyDescent="0.25">
      <c r="C2202" s="2"/>
      <c r="D2202" s="2"/>
    </row>
    <row r="2203" spans="3:4" x14ac:dyDescent="0.25">
      <c r="C2203" s="2"/>
      <c r="D2203" s="2"/>
    </row>
    <row r="2204" spans="3:4" x14ac:dyDescent="0.25">
      <c r="C2204" s="2"/>
      <c r="D2204" s="2"/>
    </row>
    <row r="2205" spans="3:4" x14ac:dyDescent="0.25">
      <c r="C2205" s="2"/>
      <c r="D2205" s="2"/>
    </row>
    <row r="2206" spans="3:4" x14ac:dyDescent="0.25">
      <c r="C2206" s="2"/>
      <c r="D2206" s="2"/>
    </row>
    <row r="2207" spans="3:4" x14ac:dyDescent="0.25">
      <c r="C2207" s="2"/>
      <c r="D2207" s="2"/>
    </row>
    <row r="2208" spans="3:4" x14ac:dyDescent="0.25">
      <c r="C2208" s="2"/>
      <c r="D2208" s="2"/>
    </row>
    <row r="2209" spans="3:4" x14ac:dyDescent="0.25">
      <c r="C2209" s="2"/>
      <c r="D2209" s="2"/>
    </row>
    <row r="2210" spans="3:4" x14ac:dyDescent="0.25">
      <c r="C2210" s="2"/>
      <c r="D2210" s="2"/>
    </row>
    <row r="2211" spans="3:4" x14ac:dyDescent="0.25">
      <c r="C2211" s="2"/>
      <c r="D2211" s="2"/>
    </row>
    <row r="2212" spans="3:4" x14ac:dyDescent="0.25">
      <c r="C2212" s="2"/>
      <c r="D2212" s="2"/>
    </row>
    <row r="2213" spans="3:4" x14ac:dyDescent="0.25">
      <c r="C2213" s="2"/>
      <c r="D2213" s="2"/>
    </row>
    <row r="2214" spans="3:4" x14ac:dyDescent="0.25">
      <c r="C2214" s="2"/>
      <c r="D2214" s="2"/>
    </row>
    <row r="2215" spans="3:4" x14ac:dyDescent="0.25">
      <c r="C2215" s="2"/>
      <c r="D2215" s="2"/>
    </row>
    <row r="2216" spans="3:4" x14ac:dyDescent="0.25">
      <c r="C2216" s="2"/>
      <c r="D2216" s="2"/>
    </row>
    <row r="2217" spans="3:4" x14ac:dyDescent="0.25">
      <c r="C2217" s="2"/>
      <c r="D2217" s="2"/>
    </row>
    <row r="2218" spans="3:4" x14ac:dyDescent="0.25">
      <c r="C2218" s="2"/>
      <c r="D2218" s="2"/>
    </row>
    <row r="2219" spans="3:4" x14ac:dyDescent="0.25">
      <c r="C2219" s="2"/>
      <c r="D2219" s="2"/>
    </row>
    <row r="2220" spans="3:4" x14ac:dyDescent="0.25">
      <c r="C2220" s="2"/>
      <c r="D2220" s="2"/>
    </row>
    <row r="2221" spans="3:4" x14ac:dyDescent="0.25">
      <c r="C2221" s="2"/>
      <c r="D2221" s="2"/>
    </row>
    <row r="2222" spans="3:4" x14ac:dyDescent="0.25">
      <c r="C2222" s="2"/>
      <c r="D2222" s="2"/>
    </row>
    <row r="2223" spans="3:4" x14ac:dyDescent="0.25">
      <c r="C2223" s="2"/>
      <c r="D2223" s="2"/>
    </row>
    <row r="2224" spans="3:4" x14ac:dyDescent="0.25">
      <c r="C2224" s="2"/>
      <c r="D2224" s="2"/>
    </row>
    <row r="2225" spans="3:4" x14ac:dyDescent="0.25">
      <c r="C2225" s="2"/>
      <c r="D2225" s="2"/>
    </row>
    <row r="2226" spans="3:4" x14ac:dyDescent="0.25">
      <c r="C2226" s="2"/>
      <c r="D2226" s="2"/>
    </row>
    <row r="2227" spans="3:4" x14ac:dyDescent="0.25">
      <c r="C2227" s="2"/>
      <c r="D2227" s="2"/>
    </row>
    <row r="2228" spans="3:4" x14ac:dyDescent="0.25">
      <c r="C2228" s="2"/>
      <c r="D2228" s="2"/>
    </row>
    <row r="2229" spans="3:4" x14ac:dyDescent="0.25">
      <c r="C2229" s="2"/>
      <c r="D2229" s="2"/>
    </row>
    <row r="2230" spans="3:4" x14ac:dyDescent="0.25">
      <c r="C2230" s="2"/>
      <c r="D2230" s="2"/>
    </row>
    <row r="2231" spans="3:4" x14ac:dyDescent="0.25">
      <c r="C2231" s="2"/>
      <c r="D2231" s="2"/>
    </row>
    <row r="2232" spans="3:4" x14ac:dyDescent="0.25">
      <c r="C2232" s="2"/>
      <c r="D2232" s="2"/>
    </row>
    <row r="2233" spans="3:4" x14ac:dyDescent="0.25">
      <c r="C2233" s="2"/>
      <c r="D2233" s="2"/>
    </row>
    <row r="2234" spans="3:4" x14ac:dyDescent="0.25">
      <c r="C2234" s="2"/>
      <c r="D2234" s="2"/>
    </row>
    <row r="2235" spans="3:4" x14ac:dyDescent="0.25">
      <c r="C2235" s="2"/>
      <c r="D2235" s="2"/>
    </row>
    <row r="2236" spans="3:4" x14ac:dyDescent="0.25">
      <c r="C2236" s="2"/>
      <c r="D2236" s="2"/>
    </row>
    <row r="2237" spans="3:4" x14ac:dyDescent="0.25">
      <c r="C2237" s="2"/>
      <c r="D2237" s="2"/>
    </row>
    <row r="2238" spans="3:4" x14ac:dyDescent="0.25">
      <c r="C2238" s="2"/>
      <c r="D2238" s="2"/>
    </row>
    <row r="2239" spans="3:4" x14ac:dyDescent="0.25">
      <c r="C2239" s="2"/>
      <c r="D2239" s="2"/>
    </row>
    <row r="2240" spans="3:4" x14ac:dyDescent="0.25">
      <c r="C2240" s="2"/>
      <c r="D2240" s="2"/>
    </row>
    <row r="2241" spans="3:4" x14ac:dyDescent="0.25">
      <c r="C2241" s="2"/>
      <c r="D2241" s="2"/>
    </row>
    <row r="2242" spans="3:4" x14ac:dyDescent="0.25">
      <c r="C2242" s="2"/>
      <c r="D2242" s="2"/>
    </row>
    <row r="2243" spans="3:4" x14ac:dyDescent="0.25">
      <c r="C2243" s="2"/>
      <c r="D2243" s="2"/>
    </row>
    <row r="2244" spans="3:4" x14ac:dyDescent="0.25">
      <c r="C2244" s="2"/>
      <c r="D2244" s="2"/>
    </row>
    <row r="2245" spans="3:4" x14ac:dyDescent="0.25">
      <c r="C2245" s="2"/>
      <c r="D2245" s="2"/>
    </row>
    <row r="2246" spans="3:4" x14ac:dyDescent="0.25">
      <c r="C2246" s="2"/>
      <c r="D2246" s="2"/>
    </row>
    <row r="2247" spans="3:4" x14ac:dyDescent="0.25">
      <c r="C2247" s="2"/>
      <c r="D2247" s="2"/>
    </row>
    <row r="2248" spans="3:4" x14ac:dyDescent="0.25">
      <c r="C2248" s="2"/>
      <c r="D2248" s="2"/>
    </row>
    <row r="2249" spans="3:4" x14ac:dyDescent="0.25">
      <c r="C2249" s="2"/>
      <c r="D2249" s="2"/>
    </row>
    <row r="2250" spans="3:4" x14ac:dyDescent="0.25">
      <c r="C2250" s="2"/>
      <c r="D2250" s="2"/>
    </row>
    <row r="2251" spans="3:4" x14ac:dyDescent="0.25">
      <c r="C2251" s="2"/>
      <c r="D2251" s="2"/>
    </row>
    <row r="2252" spans="3:4" x14ac:dyDescent="0.25">
      <c r="C2252" s="2"/>
      <c r="D2252" s="2"/>
    </row>
    <row r="2253" spans="3:4" x14ac:dyDescent="0.25">
      <c r="C2253" s="2"/>
      <c r="D2253" s="2"/>
    </row>
    <row r="2254" spans="3:4" x14ac:dyDescent="0.25">
      <c r="C2254" s="2"/>
      <c r="D2254" s="2"/>
    </row>
    <row r="2255" spans="3:4" x14ac:dyDescent="0.25">
      <c r="C2255" s="2"/>
      <c r="D2255" s="2"/>
    </row>
    <row r="2256" spans="3:4" x14ac:dyDescent="0.25">
      <c r="C2256" s="2"/>
      <c r="D2256" s="2"/>
    </row>
    <row r="2257" spans="3:4" x14ac:dyDescent="0.25">
      <c r="C2257" s="2"/>
      <c r="D2257" s="2"/>
    </row>
    <row r="2258" spans="3:4" x14ac:dyDescent="0.25">
      <c r="C2258" s="2"/>
      <c r="D2258" s="2"/>
    </row>
    <row r="2259" spans="3:4" x14ac:dyDescent="0.25">
      <c r="C2259" s="2"/>
      <c r="D2259" s="2"/>
    </row>
    <row r="2260" spans="3:4" x14ac:dyDescent="0.25">
      <c r="C2260" s="2"/>
      <c r="D2260" s="2"/>
    </row>
    <row r="2261" spans="3:4" x14ac:dyDescent="0.25">
      <c r="C2261" s="2"/>
      <c r="D2261" s="2"/>
    </row>
    <row r="2262" spans="3:4" x14ac:dyDescent="0.25">
      <c r="C2262" s="2"/>
      <c r="D2262" s="2"/>
    </row>
    <row r="2263" spans="3:4" x14ac:dyDescent="0.25">
      <c r="C2263" s="2"/>
      <c r="D2263" s="2"/>
    </row>
    <row r="2264" spans="3:4" x14ac:dyDescent="0.25">
      <c r="C2264" s="2"/>
      <c r="D2264" s="2"/>
    </row>
    <row r="2265" spans="3:4" x14ac:dyDescent="0.25">
      <c r="C2265" s="2"/>
      <c r="D2265" s="2"/>
    </row>
    <row r="2266" spans="3:4" x14ac:dyDescent="0.25">
      <c r="C2266" s="2"/>
      <c r="D2266" s="2"/>
    </row>
    <row r="2267" spans="3:4" x14ac:dyDescent="0.25">
      <c r="C2267" s="2"/>
      <c r="D2267" s="2"/>
    </row>
    <row r="2268" spans="3:4" x14ac:dyDescent="0.25">
      <c r="C2268" s="2"/>
      <c r="D2268" s="2"/>
    </row>
    <row r="2269" spans="3:4" x14ac:dyDescent="0.25">
      <c r="C2269" s="2"/>
      <c r="D2269" s="2"/>
    </row>
    <row r="2270" spans="3:4" x14ac:dyDescent="0.25">
      <c r="C2270" s="2"/>
      <c r="D2270" s="2"/>
    </row>
    <row r="2271" spans="3:4" x14ac:dyDescent="0.25">
      <c r="C2271" s="2"/>
      <c r="D2271" s="2"/>
    </row>
    <row r="2272" spans="3:4" x14ac:dyDescent="0.25">
      <c r="C2272" s="2"/>
      <c r="D2272" s="2"/>
    </row>
    <row r="2273" spans="3:4" x14ac:dyDescent="0.25">
      <c r="C2273" s="2"/>
      <c r="D2273" s="2"/>
    </row>
    <row r="2274" spans="3:4" x14ac:dyDescent="0.25">
      <c r="C2274" s="2"/>
      <c r="D2274" s="2"/>
    </row>
    <row r="2275" spans="3:4" x14ac:dyDescent="0.25">
      <c r="C2275" s="2"/>
      <c r="D2275" s="2"/>
    </row>
    <row r="2276" spans="3:4" x14ac:dyDescent="0.25">
      <c r="C2276" s="2"/>
      <c r="D2276" s="2"/>
    </row>
    <row r="2277" spans="3:4" x14ac:dyDescent="0.25">
      <c r="C2277" s="2"/>
      <c r="D2277" s="2"/>
    </row>
    <row r="2278" spans="3:4" x14ac:dyDescent="0.25">
      <c r="C2278" s="2"/>
      <c r="D2278" s="2"/>
    </row>
    <row r="2279" spans="3:4" x14ac:dyDescent="0.25">
      <c r="C2279" s="2"/>
      <c r="D2279" s="2"/>
    </row>
    <row r="2280" spans="3:4" x14ac:dyDescent="0.25">
      <c r="C2280" s="2"/>
      <c r="D2280" s="2"/>
    </row>
    <row r="2281" spans="3:4" x14ac:dyDescent="0.25">
      <c r="C2281" s="2"/>
      <c r="D2281" s="2"/>
    </row>
    <row r="2282" spans="3:4" x14ac:dyDescent="0.25">
      <c r="C2282" s="2"/>
      <c r="D2282" s="2"/>
    </row>
    <row r="2283" spans="3:4" x14ac:dyDescent="0.25">
      <c r="C2283" s="2"/>
      <c r="D2283" s="2"/>
    </row>
    <row r="2284" spans="3:4" x14ac:dyDescent="0.25">
      <c r="C2284" s="2"/>
      <c r="D2284" s="2"/>
    </row>
    <row r="2285" spans="3:4" x14ac:dyDescent="0.25">
      <c r="C2285" s="2"/>
      <c r="D2285" s="2"/>
    </row>
    <row r="2286" spans="3:4" x14ac:dyDescent="0.25">
      <c r="C2286" s="2"/>
      <c r="D2286" s="2"/>
    </row>
    <row r="2287" spans="3:4" x14ac:dyDescent="0.25">
      <c r="C2287" s="2"/>
      <c r="D2287" s="2"/>
    </row>
    <row r="2288" spans="3:4" x14ac:dyDescent="0.25">
      <c r="C2288" s="2"/>
      <c r="D2288" s="2"/>
    </row>
    <row r="2289" spans="3:4" x14ac:dyDescent="0.25">
      <c r="C2289" s="2"/>
      <c r="D2289" s="2"/>
    </row>
    <row r="2290" spans="3:4" x14ac:dyDescent="0.25">
      <c r="C2290" s="2"/>
      <c r="D2290" s="2"/>
    </row>
    <row r="2291" spans="3:4" x14ac:dyDescent="0.25">
      <c r="C2291" s="2"/>
      <c r="D2291" s="2"/>
    </row>
    <row r="2292" spans="3:4" x14ac:dyDescent="0.25">
      <c r="C2292" s="2"/>
      <c r="D2292" s="2"/>
    </row>
    <row r="2293" spans="3:4" x14ac:dyDescent="0.25">
      <c r="C2293" s="2"/>
      <c r="D2293" s="2"/>
    </row>
    <row r="2294" spans="3:4" x14ac:dyDescent="0.25">
      <c r="C2294" s="2"/>
      <c r="D2294" s="2"/>
    </row>
    <row r="2295" spans="3:4" x14ac:dyDescent="0.25">
      <c r="C2295" s="2"/>
      <c r="D2295" s="2"/>
    </row>
    <row r="2296" spans="3:4" x14ac:dyDescent="0.25">
      <c r="C2296" s="2"/>
      <c r="D2296" s="2"/>
    </row>
    <row r="2297" spans="3:4" x14ac:dyDescent="0.25">
      <c r="C2297" s="2"/>
      <c r="D2297" s="2"/>
    </row>
    <row r="2298" spans="3:4" x14ac:dyDescent="0.25">
      <c r="C2298" s="2"/>
      <c r="D2298" s="2"/>
    </row>
    <row r="2299" spans="3:4" x14ac:dyDescent="0.25">
      <c r="C2299" s="2"/>
      <c r="D2299" s="2"/>
    </row>
    <row r="2300" spans="3:4" x14ac:dyDescent="0.25">
      <c r="C2300" s="2"/>
      <c r="D2300" s="2"/>
    </row>
    <row r="2301" spans="3:4" x14ac:dyDescent="0.25">
      <c r="C2301" s="2"/>
      <c r="D2301" s="2"/>
    </row>
    <row r="2302" spans="3:4" x14ac:dyDescent="0.25">
      <c r="C2302" s="2"/>
      <c r="D2302" s="2"/>
    </row>
    <row r="2303" spans="3:4" x14ac:dyDescent="0.25">
      <c r="C2303" s="2"/>
      <c r="D2303" s="2"/>
    </row>
    <row r="2304" spans="3:4" x14ac:dyDescent="0.25">
      <c r="C2304" s="2"/>
      <c r="D2304" s="2"/>
    </row>
    <row r="2305" spans="3:4" x14ac:dyDescent="0.25">
      <c r="C2305" s="2"/>
      <c r="D2305" s="2"/>
    </row>
    <row r="2306" spans="3:4" x14ac:dyDescent="0.25">
      <c r="C2306" s="2"/>
      <c r="D2306" s="2"/>
    </row>
    <row r="2307" spans="3:4" x14ac:dyDescent="0.25">
      <c r="C2307" s="2"/>
      <c r="D2307" s="2"/>
    </row>
    <row r="2308" spans="3:4" x14ac:dyDescent="0.25">
      <c r="C2308" s="2"/>
      <c r="D2308" s="2"/>
    </row>
    <row r="2309" spans="3:4" x14ac:dyDescent="0.25">
      <c r="C2309" s="2"/>
      <c r="D2309" s="2"/>
    </row>
    <row r="2310" spans="3:4" x14ac:dyDescent="0.25">
      <c r="C2310" s="2"/>
      <c r="D2310" s="2"/>
    </row>
    <row r="2311" spans="3:4" x14ac:dyDescent="0.25">
      <c r="C2311" s="2"/>
      <c r="D2311" s="2"/>
    </row>
    <row r="2312" spans="3:4" x14ac:dyDescent="0.25">
      <c r="C2312" s="2"/>
      <c r="D2312" s="2"/>
    </row>
    <row r="2313" spans="3:4" x14ac:dyDescent="0.25">
      <c r="C2313" s="2"/>
      <c r="D2313" s="2"/>
    </row>
    <row r="2314" spans="3:4" x14ac:dyDescent="0.25">
      <c r="C2314" s="2"/>
      <c r="D2314" s="2"/>
    </row>
    <row r="2315" spans="3:4" x14ac:dyDescent="0.25">
      <c r="C2315" s="2"/>
      <c r="D2315" s="2"/>
    </row>
    <row r="2316" spans="3:4" x14ac:dyDescent="0.25">
      <c r="C2316" s="2"/>
      <c r="D2316" s="2"/>
    </row>
    <row r="2317" spans="3:4" x14ac:dyDescent="0.25">
      <c r="C2317" s="2"/>
      <c r="D2317" s="2"/>
    </row>
    <row r="2318" spans="3:4" x14ac:dyDescent="0.25">
      <c r="C2318" s="2"/>
      <c r="D2318" s="2"/>
    </row>
    <row r="2319" spans="3:4" x14ac:dyDescent="0.25">
      <c r="C2319" s="2"/>
      <c r="D2319" s="2"/>
    </row>
    <row r="2320" spans="3:4" x14ac:dyDescent="0.25">
      <c r="C2320" s="2"/>
      <c r="D2320" s="2"/>
    </row>
    <row r="2321" spans="3:4" x14ac:dyDescent="0.25">
      <c r="C2321" s="2"/>
      <c r="D2321" s="2"/>
    </row>
    <row r="2322" spans="3:4" x14ac:dyDescent="0.25">
      <c r="C2322" s="2"/>
      <c r="D2322" s="2"/>
    </row>
    <row r="2323" spans="3:4" x14ac:dyDescent="0.25">
      <c r="C2323" s="2"/>
      <c r="D2323" s="2"/>
    </row>
    <row r="2324" spans="3:4" x14ac:dyDescent="0.25">
      <c r="C2324" s="2"/>
      <c r="D2324" s="2"/>
    </row>
    <row r="2325" spans="3:4" x14ac:dyDescent="0.25">
      <c r="C2325" s="2"/>
      <c r="D2325" s="2"/>
    </row>
    <row r="2326" spans="3:4" x14ac:dyDescent="0.25">
      <c r="C2326" s="2"/>
      <c r="D2326" s="2"/>
    </row>
    <row r="2327" spans="3:4" x14ac:dyDescent="0.25">
      <c r="C2327" s="2"/>
      <c r="D2327" s="2"/>
    </row>
    <row r="2328" spans="3:4" x14ac:dyDescent="0.25">
      <c r="C2328" s="2"/>
      <c r="D2328" s="2"/>
    </row>
    <row r="2329" spans="3:4" x14ac:dyDescent="0.25">
      <c r="C2329" s="2"/>
      <c r="D2329" s="2"/>
    </row>
    <row r="2330" spans="3:4" x14ac:dyDescent="0.25">
      <c r="C2330" s="2"/>
      <c r="D2330" s="2"/>
    </row>
    <row r="2331" spans="3:4" x14ac:dyDescent="0.25">
      <c r="C2331" s="2"/>
      <c r="D2331" s="2"/>
    </row>
    <row r="2332" spans="3:4" x14ac:dyDescent="0.25">
      <c r="C2332" s="2"/>
      <c r="D2332" s="2"/>
    </row>
    <row r="2333" spans="3:4" x14ac:dyDescent="0.25">
      <c r="C2333" s="2"/>
      <c r="D2333" s="2"/>
    </row>
    <row r="2334" spans="3:4" x14ac:dyDescent="0.25">
      <c r="C2334" s="2"/>
      <c r="D2334" s="2"/>
    </row>
    <row r="2335" spans="3:4" x14ac:dyDescent="0.25">
      <c r="C2335" s="2"/>
      <c r="D2335" s="2"/>
    </row>
    <row r="2336" spans="3:4" x14ac:dyDescent="0.25">
      <c r="C2336" s="2"/>
      <c r="D2336" s="2"/>
    </row>
    <row r="2337" spans="3:4" x14ac:dyDescent="0.25">
      <c r="C2337" s="2"/>
      <c r="D2337" s="2"/>
    </row>
    <row r="2338" spans="3:4" x14ac:dyDescent="0.25">
      <c r="C2338" s="2"/>
      <c r="D2338" s="2"/>
    </row>
    <row r="2339" spans="3:4" x14ac:dyDescent="0.25">
      <c r="C2339" s="2"/>
      <c r="D2339" s="2"/>
    </row>
    <row r="2340" spans="3:4" x14ac:dyDescent="0.25">
      <c r="C2340" s="2"/>
      <c r="D2340" s="2"/>
    </row>
    <row r="2341" spans="3:4" x14ac:dyDescent="0.25">
      <c r="C2341" s="2"/>
      <c r="D2341" s="2"/>
    </row>
    <row r="2342" spans="3:4" x14ac:dyDescent="0.25">
      <c r="C2342" s="2"/>
      <c r="D2342" s="2"/>
    </row>
    <row r="2343" spans="3:4" x14ac:dyDescent="0.25">
      <c r="C2343" s="2"/>
      <c r="D2343" s="2"/>
    </row>
    <row r="2344" spans="3:4" x14ac:dyDescent="0.25">
      <c r="C2344" s="2"/>
      <c r="D2344" s="2"/>
    </row>
    <row r="2345" spans="3:4" x14ac:dyDescent="0.25">
      <c r="C2345" s="2"/>
      <c r="D2345" s="2"/>
    </row>
    <row r="2346" spans="3:4" x14ac:dyDescent="0.25">
      <c r="C2346" s="2"/>
      <c r="D2346" s="2"/>
    </row>
    <row r="2347" spans="3:4" x14ac:dyDescent="0.25">
      <c r="C2347" s="2"/>
      <c r="D2347" s="2"/>
    </row>
    <row r="2348" spans="3:4" x14ac:dyDescent="0.25">
      <c r="C2348" s="2"/>
      <c r="D2348" s="2"/>
    </row>
    <row r="2349" spans="3:4" x14ac:dyDescent="0.25">
      <c r="C2349" s="2"/>
      <c r="D2349" s="2"/>
    </row>
    <row r="2350" spans="3:4" x14ac:dyDescent="0.25">
      <c r="C2350" s="2"/>
      <c r="D2350" s="2"/>
    </row>
    <row r="2351" spans="3:4" x14ac:dyDescent="0.25">
      <c r="C2351" s="2"/>
      <c r="D2351" s="2"/>
    </row>
    <row r="2352" spans="3:4" x14ac:dyDescent="0.25">
      <c r="C2352" s="2"/>
      <c r="D2352" s="2"/>
    </row>
    <row r="2353" spans="3:4" x14ac:dyDescent="0.25">
      <c r="C2353" s="2"/>
      <c r="D2353" s="2"/>
    </row>
    <row r="2354" spans="3:4" x14ac:dyDescent="0.25">
      <c r="C2354" s="2"/>
      <c r="D2354" s="2"/>
    </row>
    <row r="2355" spans="3:4" x14ac:dyDescent="0.25">
      <c r="C2355" s="2"/>
      <c r="D2355" s="2"/>
    </row>
    <row r="2356" spans="3:4" x14ac:dyDescent="0.25">
      <c r="C2356" s="2"/>
      <c r="D2356" s="2"/>
    </row>
    <row r="2357" spans="3:4" x14ac:dyDescent="0.25">
      <c r="C2357" s="2"/>
      <c r="D2357" s="2"/>
    </row>
    <row r="2358" spans="3:4" x14ac:dyDescent="0.25">
      <c r="C2358" s="2"/>
      <c r="D2358" s="2"/>
    </row>
    <row r="2359" spans="3:4" x14ac:dyDescent="0.25">
      <c r="C2359" s="2"/>
      <c r="D2359" s="2"/>
    </row>
    <row r="2360" spans="3:4" x14ac:dyDescent="0.25">
      <c r="C2360" s="2"/>
      <c r="D2360" s="2"/>
    </row>
    <row r="2361" spans="3:4" x14ac:dyDescent="0.25">
      <c r="C2361" s="2"/>
      <c r="D2361" s="2"/>
    </row>
    <row r="2362" spans="3:4" x14ac:dyDescent="0.25">
      <c r="C2362" s="2"/>
      <c r="D2362" s="2"/>
    </row>
    <row r="2363" spans="3:4" x14ac:dyDescent="0.25">
      <c r="C2363" s="2"/>
      <c r="D2363" s="2"/>
    </row>
    <row r="2364" spans="3:4" x14ac:dyDescent="0.25">
      <c r="C2364" s="2"/>
      <c r="D2364" s="2"/>
    </row>
    <row r="2365" spans="3:4" x14ac:dyDescent="0.25">
      <c r="C2365" s="2"/>
      <c r="D2365" s="2"/>
    </row>
    <row r="2366" spans="3:4" x14ac:dyDescent="0.25">
      <c r="C2366" s="2"/>
      <c r="D2366" s="2"/>
    </row>
    <row r="2367" spans="3:4" x14ac:dyDescent="0.25">
      <c r="C2367" s="2"/>
      <c r="D2367" s="2"/>
    </row>
    <row r="2368" spans="3:4" x14ac:dyDescent="0.25">
      <c r="C2368" s="2"/>
      <c r="D2368" s="2"/>
    </row>
    <row r="2369" spans="3:4" x14ac:dyDescent="0.25">
      <c r="C2369" s="2"/>
      <c r="D2369" s="2"/>
    </row>
    <row r="2370" spans="3:4" x14ac:dyDescent="0.25">
      <c r="C2370" s="2"/>
      <c r="D2370" s="2"/>
    </row>
    <row r="2371" spans="3:4" x14ac:dyDescent="0.25">
      <c r="C2371" s="2"/>
      <c r="D2371" s="2"/>
    </row>
    <row r="2372" spans="3:4" x14ac:dyDescent="0.25">
      <c r="C2372" s="2"/>
      <c r="D2372" s="2"/>
    </row>
    <row r="2373" spans="3:4" x14ac:dyDescent="0.25">
      <c r="C2373" s="2"/>
      <c r="D2373" s="2"/>
    </row>
    <row r="2374" spans="3:4" x14ac:dyDescent="0.25">
      <c r="C2374" s="2"/>
      <c r="D2374" s="2"/>
    </row>
    <row r="2375" spans="3:4" x14ac:dyDescent="0.25">
      <c r="C2375" s="2"/>
      <c r="D2375" s="2"/>
    </row>
    <row r="2376" spans="3:4" x14ac:dyDescent="0.25">
      <c r="C2376" s="2"/>
      <c r="D2376" s="2"/>
    </row>
    <row r="2377" spans="3:4" x14ac:dyDescent="0.25">
      <c r="C2377" s="2"/>
      <c r="D2377" s="2"/>
    </row>
    <row r="2378" spans="3:4" x14ac:dyDescent="0.25">
      <c r="C2378" s="2"/>
      <c r="D2378" s="2"/>
    </row>
    <row r="2379" spans="3:4" x14ac:dyDescent="0.25">
      <c r="C2379" s="2"/>
      <c r="D2379" s="2"/>
    </row>
    <row r="2380" spans="3:4" x14ac:dyDescent="0.25">
      <c r="C2380" s="2"/>
      <c r="D2380" s="2"/>
    </row>
    <row r="2381" spans="3:4" x14ac:dyDescent="0.25">
      <c r="C2381" s="2"/>
      <c r="D2381" s="2"/>
    </row>
    <row r="2382" spans="3:4" x14ac:dyDescent="0.25">
      <c r="C2382" s="2"/>
      <c r="D2382" s="2"/>
    </row>
    <row r="2383" spans="3:4" x14ac:dyDescent="0.25">
      <c r="C2383" s="2"/>
      <c r="D2383" s="2"/>
    </row>
    <row r="2384" spans="3:4" x14ac:dyDescent="0.25">
      <c r="C2384" s="2"/>
      <c r="D2384" s="2"/>
    </row>
    <row r="2385" spans="3:4" x14ac:dyDescent="0.25">
      <c r="C2385" s="2"/>
      <c r="D2385" s="2"/>
    </row>
    <row r="2386" spans="3:4" x14ac:dyDescent="0.25">
      <c r="C2386" s="2"/>
      <c r="D2386" s="2"/>
    </row>
    <row r="2387" spans="3:4" x14ac:dyDescent="0.25">
      <c r="C2387" s="2"/>
      <c r="D2387" s="2"/>
    </row>
    <row r="2388" spans="3:4" x14ac:dyDescent="0.25">
      <c r="C2388" s="2"/>
      <c r="D2388" s="2"/>
    </row>
    <row r="2389" spans="3:4" x14ac:dyDescent="0.25">
      <c r="C2389" s="2"/>
      <c r="D2389" s="2"/>
    </row>
    <row r="2390" spans="3:4" x14ac:dyDescent="0.25">
      <c r="C2390" s="2"/>
      <c r="D2390" s="2"/>
    </row>
    <row r="2391" spans="3:4" x14ac:dyDescent="0.25">
      <c r="C2391" s="2"/>
      <c r="D2391" s="2"/>
    </row>
    <row r="2392" spans="3:4" x14ac:dyDescent="0.25">
      <c r="C2392" s="2"/>
      <c r="D2392" s="2"/>
    </row>
    <row r="2393" spans="3:4" x14ac:dyDescent="0.25">
      <c r="C2393" s="2"/>
      <c r="D2393" s="2"/>
    </row>
    <row r="2394" spans="3:4" x14ac:dyDescent="0.25">
      <c r="C2394" s="2"/>
      <c r="D2394" s="2"/>
    </row>
    <row r="2395" spans="3:4" x14ac:dyDescent="0.25">
      <c r="C2395" s="2"/>
      <c r="D2395" s="2"/>
    </row>
    <row r="2396" spans="3:4" x14ac:dyDescent="0.25">
      <c r="C2396" s="2"/>
      <c r="D2396" s="2"/>
    </row>
    <row r="2397" spans="3:4" x14ac:dyDescent="0.25">
      <c r="C2397" s="2"/>
      <c r="D2397" s="2"/>
    </row>
    <row r="2398" spans="3:4" x14ac:dyDescent="0.25">
      <c r="C2398" s="2"/>
      <c r="D2398" s="2"/>
    </row>
    <row r="2399" spans="3:4" x14ac:dyDescent="0.25">
      <c r="C2399" s="2"/>
      <c r="D2399" s="2"/>
    </row>
    <row r="2400" spans="3:4" x14ac:dyDescent="0.25">
      <c r="C2400" s="2"/>
      <c r="D2400" s="2"/>
    </row>
    <row r="2401" spans="3:4" x14ac:dyDescent="0.25">
      <c r="C2401" s="2"/>
      <c r="D2401" s="2"/>
    </row>
    <row r="2402" spans="3:4" x14ac:dyDescent="0.25">
      <c r="C2402" s="2"/>
      <c r="D2402" s="2"/>
    </row>
    <row r="2403" spans="3:4" x14ac:dyDescent="0.25">
      <c r="C2403" s="2"/>
      <c r="D2403" s="2"/>
    </row>
    <row r="2404" spans="3:4" x14ac:dyDescent="0.25">
      <c r="C2404" s="2"/>
      <c r="D2404" s="2"/>
    </row>
    <row r="2405" spans="3:4" x14ac:dyDescent="0.25">
      <c r="C2405" s="2"/>
      <c r="D2405" s="2"/>
    </row>
    <row r="2406" spans="3:4" x14ac:dyDescent="0.25">
      <c r="C2406" s="2"/>
      <c r="D2406" s="2"/>
    </row>
    <row r="2407" spans="3:4" x14ac:dyDescent="0.25">
      <c r="C2407" s="2"/>
      <c r="D2407" s="2"/>
    </row>
    <row r="2408" spans="3:4" x14ac:dyDescent="0.25">
      <c r="C2408" s="2"/>
      <c r="D2408" s="2"/>
    </row>
    <row r="2409" spans="3:4" x14ac:dyDescent="0.25">
      <c r="C2409" s="2"/>
      <c r="D2409" s="2"/>
    </row>
    <row r="2410" spans="3:4" x14ac:dyDescent="0.25">
      <c r="C2410" s="2"/>
      <c r="D2410" s="2"/>
    </row>
    <row r="2411" spans="3:4" x14ac:dyDescent="0.25">
      <c r="C2411" s="2"/>
      <c r="D2411" s="2"/>
    </row>
    <row r="2412" spans="3:4" x14ac:dyDescent="0.25">
      <c r="C2412" s="2"/>
      <c r="D2412" s="2"/>
    </row>
    <row r="2413" spans="3:4" x14ac:dyDescent="0.25">
      <c r="C2413" s="2"/>
      <c r="D2413" s="2"/>
    </row>
    <row r="2414" spans="3:4" x14ac:dyDescent="0.25">
      <c r="C2414" s="2"/>
      <c r="D2414" s="2"/>
    </row>
    <row r="2415" spans="3:4" x14ac:dyDescent="0.25">
      <c r="C2415" s="2"/>
      <c r="D2415" s="2"/>
    </row>
    <row r="2416" spans="3:4" x14ac:dyDescent="0.25">
      <c r="C2416" s="2"/>
      <c r="D2416" s="2"/>
    </row>
    <row r="2417" spans="3:4" x14ac:dyDescent="0.25">
      <c r="C2417" s="2"/>
      <c r="D2417" s="2"/>
    </row>
    <row r="2418" spans="3:4" x14ac:dyDescent="0.25">
      <c r="C2418" s="2"/>
      <c r="D2418" s="2"/>
    </row>
    <row r="2419" spans="3:4" x14ac:dyDescent="0.25">
      <c r="C2419" s="2"/>
      <c r="D2419" s="2"/>
    </row>
    <row r="2420" spans="3:4" x14ac:dyDescent="0.25">
      <c r="C2420" s="2"/>
      <c r="D2420" s="2"/>
    </row>
    <row r="2421" spans="3:4" x14ac:dyDescent="0.25">
      <c r="C2421" s="2"/>
      <c r="D2421" s="2"/>
    </row>
    <row r="2422" spans="3:4" x14ac:dyDescent="0.25">
      <c r="C2422" s="2"/>
      <c r="D2422" s="2"/>
    </row>
    <row r="2423" spans="3:4" x14ac:dyDescent="0.25">
      <c r="C2423" s="2"/>
      <c r="D2423" s="2"/>
    </row>
    <row r="2424" spans="3:4" x14ac:dyDescent="0.25">
      <c r="C2424" s="2"/>
      <c r="D2424" s="2"/>
    </row>
    <row r="2425" spans="3:4" x14ac:dyDescent="0.25">
      <c r="C2425" s="2"/>
      <c r="D2425" s="2"/>
    </row>
    <row r="2426" spans="3:4" x14ac:dyDescent="0.25">
      <c r="C2426" s="2"/>
      <c r="D2426" s="2"/>
    </row>
    <row r="2427" spans="3:4" x14ac:dyDescent="0.25">
      <c r="C2427" s="2"/>
      <c r="D2427" s="2"/>
    </row>
    <row r="2428" spans="3:4" x14ac:dyDescent="0.25">
      <c r="C2428" s="2"/>
      <c r="D2428" s="2"/>
    </row>
    <row r="2429" spans="3:4" x14ac:dyDescent="0.25">
      <c r="C2429" s="2"/>
      <c r="D2429" s="2"/>
    </row>
    <row r="2430" spans="3:4" x14ac:dyDescent="0.25">
      <c r="C2430" s="2"/>
      <c r="D2430" s="2"/>
    </row>
    <row r="2431" spans="3:4" x14ac:dyDescent="0.25">
      <c r="C2431" s="2"/>
      <c r="D2431" s="2"/>
    </row>
    <row r="2432" spans="3:4" x14ac:dyDescent="0.25">
      <c r="C2432" s="2"/>
      <c r="D2432" s="2"/>
    </row>
    <row r="2433" spans="3:4" x14ac:dyDescent="0.25">
      <c r="C2433" s="2"/>
      <c r="D2433" s="2"/>
    </row>
    <row r="2434" spans="3:4" x14ac:dyDescent="0.25">
      <c r="C2434" s="2"/>
      <c r="D2434" s="2"/>
    </row>
    <row r="2435" spans="3:4" x14ac:dyDescent="0.25">
      <c r="C2435" s="2"/>
      <c r="D2435" s="2"/>
    </row>
    <row r="2436" spans="3:4" x14ac:dyDescent="0.25">
      <c r="C2436" s="2"/>
      <c r="D2436" s="2"/>
    </row>
    <row r="2437" spans="3:4" x14ac:dyDescent="0.25">
      <c r="C2437" s="2"/>
      <c r="D2437" s="2"/>
    </row>
    <row r="2438" spans="3:4" x14ac:dyDescent="0.25">
      <c r="C2438" s="2"/>
      <c r="D2438" s="2"/>
    </row>
    <row r="2439" spans="3:4" x14ac:dyDescent="0.25">
      <c r="C2439" s="2"/>
      <c r="D2439" s="2"/>
    </row>
    <row r="2440" spans="3:4" x14ac:dyDescent="0.25">
      <c r="C2440" s="2"/>
      <c r="D2440" s="2"/>
    </row>
    <row r="2441" spans="3:4" x14ac:dyDescent="0.25">
      <c r="C2441" s="2"/>
      <c r="D2441" s="2"/>
    </row>
    <row r="2442" spans="3:4" x14ac:dyDescent="0.25">
      <c r="C2442" s="2"/>
      <c r="D2442" s="2"/>
    </row>
    <row r="2443" spans="3:4" x14ac:dyDescent="0.25">
      <c r="C2443" s="2"/>
      <c r="D2443" s="2"/>
    </row>
    <row r="2444" spans="3:4" x14ac:dyDescent="0.25">
      <c r="C2444" s="2"/>
      <c r="D2444" s="2"/>
    </row>
    <row r="2445" spans="3:4" x14ac:dyDescent="0.25">
      <c r="C2445" s="2"/>
      <c r="D2445" s="2"/>
    </row>
    <row r="2446" spans="3:4" x14ac:dyDescent="0.25">
      <c r="C2446" s="2"/>
      <c r="D2446" s="2"/>
    </row>
    <row r="2447" spans="3:4" x14ac:dyDescent="0.25">
      <c r="C2447" s="2"/>
      <c r="D2447" s="2"/>
    </row>
    <row r="2448" spans="3:4" x14ac:dyDescent="0.25">
      <c r="C2448" s="2"/>
      <c r="D2448" s="2"/>
    </row>
    <row r="2449" spans="3:4" x14ac:dyDescent="0.25">
      <c r="C2449" s="2"/>
      <c r="D2449" s="2"/>
    </row>
    <row r="2450" spans="3:4" x14ac:dyDescent="0.25">
      <c r="C2450" s="2"/>
      <c r="D2450" s="2"/>
    </row>
    <row r="2451" spans="3:4" x14ac:dyDescent="0.25">
      <c r="C2451" s="2"/>
      <c r="D2451" s="2"/>
    </row>
    <row r="2452" spans="3:4" x14ac:dyDescent="0.25">
      <c r="C2452" s="2"/>
      <c r="D2452" s="2"/>
    </row>
    <row r="2453" spans="3:4" x14ac:dyDescent="0.25">
      <c r="C2453" s="2"/>
      <c r="D2453" s="2"/>
    </row>
    <row r="2454" spans="3:4" x14ac:dyDescent="0.25">
      <c r="C2454" s="2"/>
      <c r="D2454" s="2"/>
    </row>
    <row r="2455" spans="3:4" x14ac:dyDescent="0.25">
      <c r="C2455" s="2"/>
      <c r="D2455" s="2"/>
    </row>
    <row r="2456" spans="3:4" x14ac:dyDescent="0.25">
      <c r="C2456" s="2"/>
      <c r="D2456" s="2"/>
    </row>
    <row r="2457" spans="3:4" x14ac:dyDescent="0.25">
      <c r="C2457" s="2"/>
      <c r="D2457" s="2"/>
    </row>
    <row r="2458" spans="3:4" x14ac:dyDescent="0.25">
      <c r="C2458" s="2"/>
      <c r="D2458" s="2"/>
    </row>
    <row r="2459" spans="3:4" x14ac:dyDescent="0.25">
      <c r="C2459" s="2"/>
      <c r="D2459" s="2"/>
    </row>
    <row r="2460" spans="3:4" x14ac:dyDescent="0.25">
      <c r="C2460" s="2"/>
      <c r="D2460" s="2"/>
    </row>
    <row r="2461" spans="3:4" x14ac:dyDescent="0.25">
      <c r="C2461" s="2"/>
      <c r="D2461" s="2"/>
    </row>
    <row r="2462" spans="3:4" x14ac:dyDescent="0.25">
      <c r="C2462" s="2"/>
      <c r="D2462" s="2"/>
    </row>
    <row r="2463" spans="3:4" x14ac:dyDescent="0.25">
      <c r="C2463" s="2"/>
      <c r="D2463" s="2"/>
    </row>
    <row r="2464" spans="3:4" x14ac:dyDescent="0.25">
      <c r="C2464" s="2"/>
      <c r="D2464" s="2"/>
    </row>
    <row r="2465" spans="3:4" x14ac:dyDescent="0.25">
      <c r="C2465" s="2"/>
      <c r="D2465" s="2"/>
    </row>
    <row r="2466" spans="3:4" x14ac:dyDescent="0.25">
      <c r="C2466" s="2"/>
      <c r="D2466" s="2"/>
    </row>
    <row r="2467" spans="3:4" x14ac:dyDescent="0.25">
      <c r="C2467" s="2"/>
      <c r="D2467" s="2"/>
    </row>
    <row r="2468" spans="3:4" x14ac:dyDescent="0.25">
      <c r="C2468" s="2"/>
      <c r="D2468" s="2"/>
    </row>
    <row r="2469" spans="3:4" x14ac:dyDescent="0.25">
      <c r="C2469" s="2"/>
      <c r="D2469" s="2"/>
    </row>
    <row r="2470" spans="3:4" x14ac:dyDescent="0.25">
      <c r="C2470" s="2"/>
      <c r="D2470" s="2"/>
    </row>
    <row r="2471" spans="3:4" x14ac:dyDescent="0.25">
      <c r="C2471" s="2"/>
      <c r="D2471" s="2"/>
    </row>
    <row r="2472" spans="3:4" x14ac:dyDescent="0.25">
      <c r="C2472" s="2"/>
      <c r="D2472" s="2"/>
    </row>
    <row r="2473" spans="3:4" x14ac:dyDescent="0.25">
      <c r="C2473" s="2"/>
      <c r="D2473" s="2"/>
    </row>
    <row r="2474" spans="3:4" x14ac:dyDescent="0.25">
      <c r="C2474" s="2"/>
      <c r="D2474" s="2"/>
    </row>
    <row r="2475" spans="3:4" x14ac:dyDescent="0.25">
      <c r="C2475" s="2"/>
      <c r="D2475" s="2"/>
    </row>
    <row r="2476" spans="3:4" x14ac:dyDescent="0.25">
      <c r="C2476" s="2"/>
      <c r="D2476" s="2"/>
    </row>
    <row r="2477" spans="3:4" x14ac:dyDescent="0.25">
      <c r="C2477" s="2"/>
      <c r="D2477" s="2"/>
    </row>
    <row r="2478" spans="3:4" x14ac:dyDescent="0.25">
      <c r="C2478" s="2"/>
      <c r="D2478" s="2"/>
    </row>
    <row r="2479" spans="3:4" x14ac:dyDescent="0.25">
      <c r="C2479" s="2"/>
      <c r="D2479" s="2"/>
    </row>
    <row r="2480" spans="3:4" x14ac:dyDescent="0.25">
      <c r="C2480" s="2"/>
      <c r="D2480" s="2"/>
    </row>
    <row r="2481" spans="3:4" x14ac:dyDescent="0.25">
      <c r="C2481" s="2"/>
      <c r="D2481" s="2"/>
    </row>
    <row r="2482" spans="3:4" x14ac:dyDescent="0.25">
      <c r="C2482" s="2"/>
      <c r="D2482" s="2"/>
    </row>
    <row r="2483" spans="3:4" x14ac:dyDescent="0.25">
      <c r="C2483" s="2"/>
      <c r="D2483" s="2"/>
    </row>
    <row r="2484" spans="3:4" x14ac:dyDescent="0.25">
      <c r="C2484" s="2"/>
      <c r="D2484" s="2"/>
    </row>
    <row r="2485" spans="3:4" x14ac:dyDescent="0.25">
      <c r="C2485" s="2"/>
      <c r="D2485" s="2"/>
    </row>
    <row r="2486" spans="3:4" x14ac:dyDescent="0.25">
      <c r="C2486" s="2"/>
      <c r="D2486" s="2"/>
    </row>
    <row r="2487" spans="3:4" x14ac:dyDescent="0.25">
      <c r="C2487" s="2"/>
      <c r="D2487" s="2"/>
    </row>
    <row r="2488" spans="3:4" x14ac:dyDescent="0.25">
      <c r="C2488" s="2"/>
      <c r="D2488" s="2"/>
    </row>
    <row r="2489" spans="3:4" x14ac:dyDescent="0.25">
      <c r="C2489" s="2"/>
      <c r="D2489" s="2"/>
    </row>
    <row r="2490" spans="3:4" x14ac:dyDescent="0.25">
      <c r="C2490" s="2"/>
      <c r="D2490" s="2"/>
    </row>
    <row r="2491" spans="3:4" x14ac:dyDescent="0.25">
      <c r="C2491" s="2"/>
      <c r="D2491" s="2"/>
    </row>
    <row r="2492" spans="3:4" x14ac:dyDescent="0.25">
      <c r="C2492" s="2"/>
      <c r="D2492" s="2"/>
    </row>
    <row r="2493" spans="3:4" x14ac:dyDescent="0.25">
      <c r="C2493" s="2"/>
      <c r="D2493" s="2"/>
    </row>
    <row r="2494" spans="3:4" x14ac:dyDescent="0.25">
      <c r="C2494" s="2"/>
      <c r="D2494" s="2"/>
    </row>
    <row r="2495" spans="3:4" x14ac:dyDescent="0.25">
      <c r="C2495" s="2"/>
      <c r="D2495" s="2"/>
    </row>
    <row r="2496" spans="3:4" x14ac:dyDescent="0.25">
      <c r="C2496" s="2"/>
      <c r="D2496" s="2"/>
    </row>
    <row r="2497" spans="3:4" x14ac:dyDescent="0.25">
      <c r="C2497" s="2"/>
      <c r="D2497" s="2"/>
    </row>
    <row r="2498" spans="3:4" x14ac:dyDescent="0.25">
      <c r="C2498" s="2"/>
      <c r="D2498" s="2"/>
    </row>
    <row r="2499" spans="3:4" x14ac:dyDescent="0.25">
      <c r="C2499" s="2"/>
      <c r="D2499" s="2"/>
    </row>
    <row r="2500" spans="3:4" x14ac:dyDescent="0.25">
      <c r="C2500" s="2"/>
      <c r="D2500" s="2"/>
    </row>
    <row r="2501" spans="3:4" x14ac:dyDescent="0.25">
      <c r="C2501" s="2"/>
      <c r="D2501" s="2"/>
    </row>
    <row r="2502" spans="3:4" x14ac:dyDescent="0.25">
      <c r="C2502" s="2"/>
      <c r="D2502" s="2"/>
    </row>
    <row r="2503" spans="3:4" x14ac:dyDescent="0.25">
      <c r="C2503" s="2"/>
      <c r="D2503" s="2"/>
    </row>
    <row r="2504" spans="3:4" x14ac:dyDescent="0.25">
      <c r="C2504" s="2"/>
      <c r="D2504" s="2"/>
    </row>
    <row r="2505" spans="3:4" x14ac:dyDescent="0.25">
      <c r="C2505" s="2"/>
      <c r="D2505" s="2"/>
    </row>
    <row r="2506" spans="3:4" x14ac:dyDescent="0.25">
      <c r="C2506" s="2"/>
      <c r="D2506" s="2"/>
    </row>
    <row r="2507" spans="3:4" x14ac:dyDescent="0.25">
      <c r="C2507" s="2"/>
      <c r="D2507" s="2"/>
    </row>
    <row r="2508" spans="3:4" x14ac:dyDescent="0.25">
      <c r="C2508" s="2"/>
      <c r="D2508" s="2"/>
    </row>
    <row r="2509" spans="3:4" x14ac:dyDescent="0.25">
      <c r="C2509" s="2"/>
      <c r="D2509" s="2"/>
    </row>
    <row r="2510" spans="3:4" x14ac:dyDescent="0.25">
      <c r="C2510" s="2"/>
      <c r="D2510" s="2"/>
    </row>
    <row r="2511" spans="3:4" x14ac:dyDescent="0.25">
      <c r="C2511" s="2"/>
      <c r="D2511" s="2"/>
    </row>
    <row r="2512" spans="3:4" x14ac:dyDescent="0.25">
      <c r="C2512" s="2"/>
      <c r="D2512" s="2"/>
    </row>
    <row r="2513" spans="3:4" x14ac:dyDescent="0.25">
      <c r="C2513" s="2"/>
      <c r="D2513" s="2"/>
    </row>
    <row r="2514" spans="3:4" x14ac:dyDescent="0.25">
      <c r="C2514" s="2"/>
      <c r="D2514" s="2"/>
    </row>
    <row r="2515" spans="3:4" x14ac:dyDescent="0.25">
      <c r="C2515" s="2"/>
      <c r="D2515" s="2"/>
    </row>
    <row r="2516" spans="3:4" x14ac:dyDescent="0.25">
      <c r="C2516" s="2"/>
      <c r="D2516" s="2"/>
    </row>
    <row r="2517" spans="3:4" x14ac:dyDescent="0.25">
      <c r="C2517" s="2"/>
      <c r="D2517" s="2"/>
    </row>
    <row r="2518" spans="3:4" x14ac:dyDescent="0.25">
      <c r="C2518" s="2"/>
      <c r="D2518" s="2"/>
    </row>
    <row r="2519" spans="3:4" x14ac:dyDescent="0.25">
      <c r="C2519" s="2"/>
      <c r="D2519" s="2"/>
    </row>
    <row r="2520" spans="3:4" x14ac:dyDescent="0.25">
      <c r="C2520" s="2"/>
      <c r="D2520" s="2"/>
    </row>
    <row r="2521" spans="3:4" x14ac:dyDescent="0.25">
      <c r="C2521" s="2"/>
      <c r="D2521" s="2"/>
    </row>
    <row r="2522" spans="3:4" x14ac:dyDescent="0.25">
      <c r="C2522" s="2"/>
      <c r="D2522" s="2"/>
    </row>
    <row r="2523" spans="3:4" x14ac:dyDescent="0.25">
      <c r="C2523" s="2"/>
      <c r="D2523" s="2"/>
    </row>
    <row r="2524" spans="3:4" x14ac:dyDescent="0.25">
      <c r="C2524" s="2"/>
      <c r="D2524" s="2"/>
    </row>
    <row r="2525" spans="3:4" x14ac:dyDescent="0.25">
      <c r="C2525" s="2"/>
      <c r="D2525" s="2"/>
    </row>
    <row r="2526" spans="3:4" x14ac:dyDescent="0.25">
      <c r="C2526" s="2"/>
      <c r="D2526" s="2"/>
    </row>
    <row r="2527" spans="3:4" x14ac:dyDescent="0.25">
      <c r="C2527" s="2"/>
      <c r="D2527" s="2"/>
    </row>
    <row r="2528" spans="3:4" x14ac:dyDescent="0.25">
      <c r="C2528" s="2"/>
      <c r="D2528" s="2"/>
    </row>
    <row r="2529" spans="3:4" x14ac:dyDescent="0.25">
      <c r="C2529" s="2"/>
      <c r="D2529" s="2"/>
    </row>
    <row r="2530" spans="3:4" x14ac:dyDescent="0.25">
      <c r="C2530" s="2"/>
      <c r="D2530" s="2"/>
    </row>
    <row r="2531" spans="3:4" x14ac:dyDescent="0.25">
      <c r="C2531" s="2"/>
      <c r="D2531" s="2"/>
    </row>
    <row r="2532" spans="3:4" x14ac:dyDescent="0.25">
      <c r="C2532" s="2"/>
      <c r="D2532" s="2"/>
    </row>
    <row r="2533" spans="3:4" x14ac:dyDescent="0.25">
      <c r="C2533" s="2"/>
      <c r="D2533" s="2"/>
    </row>
    <row r="2534" spans="3:4" x14ac:dyDescent="0.25">
      <c r="C2534" s="2"/>
      <c r="D2534" s="2"/>
    </row>
    <row r="2535" spans="3:4" x14ac:dyDescent="0.25">
      <c r="C2535" s="2"/>
      <c r="D2535" s="2"/>
    </row>
    <row r="2536" spans="3:4" x14ac:dyDescent="0.25">
      <c r="C2536" s="2"/>
      <c r="D2536" s="2"/>
    </row>
    <row r="2537" spans="3:4" x14ac:dyDescent="0.25">
      <c r="C2537" s="2"/>
      <c r="D2537" s="2"/>
    </row>
    <row r="2538" spans="3:4" x14ac:dyDescent="0.25">
      <c r="C2538" s="2"/>
      <c r="D2538" s="2"/>
    </row>
    <row r="2539" spans="3:4" x14ac:dyDescent="0.25">
      <c r="C2539" s="2"/>
      <c r="D2539" s="2"/>
    </row>
    <row r="2540" spans="3:4" x14ac:dyDescent="0.25">
      <c r="C2540" s="2"/>
      <c r="D2540" s="2"/>
    </row>
    <row r="2541" spans="3:4" x14ac:dyDescent="0.25">
      <c r="C2541" s="2"/>
      <c r="D2541" s="2"/>
    </row>
    <row r="2542" spans="3:4" x14ac:dyDescent="0.25">
      <c r="C2542" s="2"/>
      <c r="D2542" s="2"/>
    </row>
    <row r="2543" spans="3:4" x14ac:dyDescent="0.25">
      <c r="C2543" s="2"/>
      <c r="D2543" s="2"/>
    </row>
    <row r="2544" spans="3:4" x14ac:dyDescent="0.25">
      <c r="C2544" s="2"/>
      <c r="D2544" s="2"/>
    </row>
    <row r="2545" spans="3:4" x14ac:dyDescent="0.25">
      <c r="C2545" s="2"/>
      <c r="D2545" s="2"/>
    </row>
    <row r="2546" spans="3:4" x14ac:dyDescent="0.25">
      <c r="C2546" s="2"/>
      <c r="D2546" s="2"/>
    </row>
    <row r="2547" spans="3:4" x14ac:dyDescent="0.25">
      <c r="C2547" s="2"/>
      <c r="D2547" s="2"/>
    </row>
    <row r="2548" spans="3:4" x14ac:dyDescent="0.25">
      <c r="C2548" s="2"/>
      <c r="D2548" s="2"/>
    </row>
    <row r="2549" spans="3:4" x14ac:dyDescent="0.25">
      <c r="C2549" s="2"/>
      <c r="D2549" s="2"/>
    </row>
    <row r="2550" spans="3:4" x14ac:dyDescent="0.25">
      <c r="C2550" s="2"/>
      <c r="D2550" s="2"/>
    </row>
    <row r="2551" spans="3:4" x14ac:dyDescent="0.25">
      <c r="C2551" s="2"/>
      <c r="D2551" s="2"/>
    </row>
    <row r="2552" spans="3:4" x14ac:dyDescent="0.25">
      <c r="C2552" s="2"/>
      <c r="D2552" s="2"/>
    </row>
    <row r="2553" spans="3:4" x14ac:dyDescent="0.25">
      <c r="C2553" s="2"/>
      <c r="D2553" s="2"/>
    </row>
    <row r="2554" spans="3:4" x14ac:dyDescent="0.25">
      <c r="C2554" s="2"/>
      <c r="D2554" s="2"/>
    </row>
    <row r="2555" spans="3:4" x14ac:dyDescent="0.25">
      <c r="C2555" s="2"/>
      <c r="D2555" s="2"/>
    </row>
    <row r="2556" spans="3:4" x14ac:dyDescent="0.25">
      <c r="C2556" s="2"/>
      <c r="D2556" s="2"/>
    </row>
    <row r="2557" spans="3:4" x14ac:dyDescent="0.25">
      <c r="C2557" s="2"/>
      <c r="D2557" s="2"/>
    </row>
    <row r="2558" spans="3:4" x14ac:dyDescent="0.25">
      <c r="C2558" s="2"/>
      <c r="D2558" s="2"/>
    </row>
    <row r="2559" spans="3:4" x14ac:dyDescent="0.25">
      <c r="C2559" s="2"/>
      <c r="D2559" s="2"/>
    </row>
    <row r="2560" spans="3:4" x14ac:dyDescent="0.25">
      <c r="C2560" s="2"/>
      <c r="D2560" s="2"/>
    </row>
    <row r="2561" spans="3:4" x14ac:dyDescent="0.25">
      <c r="C2561" s="2"/>
      <c r="D2561" s="2"/>
    </row>
    <row r="2562" spans="3:4" x14ac:dyDescent="0.25">
      <c r="C2562" s="2"/>
      <c r="D2562" s="2"/>
    </row>
    <row r="2563" spans="3:4" x14ac:dyDescent="0.25">
      <c r="C2563" s="2"/>
      <c r="D2563" s="2"/>
    </row>
    <row r="2564" spans="3:4" x14ac:dyDescent="0.25">
      <c r="C2564" s="2"/>
      <c r="D2564" s="2"/>
    </row>
    <row r="2565" spans="3:4" x14ac:dyDescent="0.25">
      <c r="C2565" s="2"/>
      <c r="D2565" s="2"/>
    </row>
    <row r="2566" spans="3:4" x14ac:dyDescent="0.25">
      <c r="C2566" s="2"/>
      <c r="D2566" s="2"/>
    </row>
    <row r="2567" spans="3:4" x14ac:dyDescent="0.25">
      <c r="C2567" s="2"/>
      <c r="D2567" s="2"/>
    </row>
    <row r="2568" spans="3:4" x14ac:dyDescent="0.25">
      <c r="C2568" s="2"/>
      <c r="D2568" s="2"/>
    </row>
    <row r="2569" spans="3:4" x14ac:dyDescent="0.25">
      <c r="C2569" s="2"/>
      <c r="D2569" s="2"/>
    </row>
    <row r="2570" spans="3:4" x14ac:dyDescent="0.25">
      <c r="C2570" s="2"/>
      <c r="D2570" s="2"/>
    </row>
    <row r="2571" spans="3:4" x14ac:dyDescent="0.25">
      <c r="C2571" s="2"/>
      <c r="D2571" s="2"/>
    </row>
    <row r="2572" spans="3:4" x14ac:dyDescent="0.25">
      <c r="C2572" s="2"/>
      <c r="D2572" s="2"/>
    </row>
    <row r="2573" spans="3:4" x14ac:dyDescent="0.25">
      <c r="C2573" s="2"/>
      <c r="D2573" s="2"/>
    </row>
    <row r="2574" spans="3:4" x14ac:dyDescent="0.25">
      <c r="C2574" s="2"/>
      <c r="D2574" s="2"/>
    </row>
    <row r="2575" spans="3:4" x14ac:dyDescent="0.25">
      <c r="C2575" s="2"/>
      <c r="D2575" s="2"/>
    </row>
    <row r="2576" spans="3:4" x14ac:dyDescent="0.25">
      <c r="C2576" s="2"/>
      <c r="D2576" s="2"/>
    </row>
    <row r="2577" spans="3:4" x14ac:dyDescent="0.25">
      <c r="C2577" s="2"/>
      <c r="D2577" s="2"/>
    </row>
    <row r="2578" spans="3:4" x14ac:dyDescent="0.25">
      <c r="C2578" s="2"/>
      <c r="D2578" s="2"/>
    </row>
    <row r="2579" spans="3:4" x14ac:dyDescent="0.25">
      <c r="C2579" s="2"/>
      <c r="D2579" s="2"/>
    </row>
    <row r="2580" spans="3:4" x14ac:dyDescent="0.25">
      <c r="C2580" s="2"/>
      <c r="D2580" s="2"/>
    </row>
    <row r="2581" spans="3:4" x14ac:dyDescent="0.25">
      <c r="C2581" s="2"/>
      <c r="D2581" s="2"/>
    </row>
    <row r="2582" spans="3:4" x14ac:dyDescent="0.25">
      <c r="C2582" s="2"/>
      <c r="D2582" s="2"/>
    </row>
    <row r="2583" spans="3:4" x14ac:dyDescent="0.25">
      <c r="C2583" s="2"/>
      <c r="D2583" s="2"/>
    </row>
    <row r="2584" spans="3:4" x14ac:dyDescent="0.25">
      <c r="C2584" s="2"/>
      <c r="D2584" s="2"/>
    </row>
    <row r="2585" spans="3:4" x14ac:dyDescent="0.25">
      <c r="C2585" s="2"/>
      <c r="D2585" s="2"/>
    </row>
    <row r="2586" spans="3:4" x14ac:dyDescent="0.25">
      <c r="C2586" s="2"/>
      <c r="D2586" s="2"/>
    </row>
    <row r="2587" spans="3:4" x14ac:dyDescent="0.25">
      <c r="C2587" s="2"/>
      <c r="D2587" s="2"/>
    </row>
    <row r="2588" spans="3:4" x14ac:dyDescent="0.25">
      <c r="C2588" s="2"/>
      <c r="D2588" s="2"/>
    </row>
    <row r="2589" spans="3:4" x14ac:dyDescent="0.25">
      <c r="C2589" s="2"/>
      <c r="D2589" s="2"/>
    </row>
    <row r="2590" spans="3:4" x14ac:dyDescent="0.25">
      <c r="C2590" s="2"/>
      <c r="D2590" s="2"/>
    </row>
    <row r="2591" spans="3:4" x14ac:dyDescent="0.25">
      <c r="C2591" s="2"/>
      <c r="D2591" s="2"/>
    </row>
    <row r="2592" spans="3:4" x14ac:dyDescent="0.25">
      <c r="C2592" s="2"/>
      <c r="D2592" s="2"/>
    </row>
    <row r="2593" spans="3:4" x14ac:dyDescent="0.25">
      <c r="C2593" s="2"/>
      <c r="D2593" s="2"/>
    </row>
    <row r="2594" spans="3:4" x14ac:dyDescent="0.25">
      <c r="C2594" s="2"/>
      <c r="D2594" s="2"/>
    </row>
    <row r="2595" spans="3:4" x14ac:dyDescent="0.25">
      <c r="C2595" s="2"/>
      <c r="D2595" s="2"/>
    </row>
    <row r="2596" spans="3:4" x14ac:dyDescent="0.25">
      <c r="C2596" s="2"/>
      <c r="D2596" s="2"/>
    </row>
    <row r="2597" spans="3:4" x14ac:dyDescent="0.25">
      <c r="C2597" s="2"/>
      <c r="D2597" s="2"/>
    </row>
    <row r="2598" spans="3:4" x14ac:dyDescent="0.25">
      <c r="C2598" s="2"/>
      <c r="D2598" s="2"/>
    </row>
    <row r="2599" spans="3:4" x14ac:dyDescent="0.25">
      <c r="C2599" s="2"/>
      <c r="D2599" s="2"/>
    </row>
    <row r="2600" spans="3:4" x14ac:dyDescent="0.25">
      <c r="C2600" s="2"/>
      <c r="D2600" s="2"/>
    </row>
    <row r="2601" spans="3:4" x14ac:dyDescent="0.25">
      <c r="C2601" s="2"/>
      <c r="D2601" s="2"/>
    </row>
    <row r="2602" spans="3:4" x14ac:dyDescent="0.25">
      <c r="C2602" s="2"/>
      <c r="D2602" s="2"/>
    </row>
    <row r="2603" spans="3:4" x14ac:dyDescent="0.25">
      <c r="C2603" s="2"/>
      <c r="D2603" s="2"/>
    </row>
    <row r="2604" spans="3:4" x14ac:dyDescent="0.25">
      <c r="C2604" s="2"/>
      <c r="D2604" s="2"/>
    </row>
    <row r="2605" spans="3:4" x14ac:dyDescent="0.25">
      <c r="C2605" s="2"/>
      <c r="D2605" s="2"/>
    </row>
    <row r="2606" spans="3:4" x14ac:dyDescent="0.25">
      <c r="C2606" s="2"/>
      <c r="D2606" s="2"/>
    </row>
    <row r="2607" spans="3:4" x14ac:dyDescent="0.25">
      <c r="C2607" s="2"/>
      <c r="D2607" s="2"/>
    </row>
    <row r="2608" spans="3:4" x14ac:dyDescent="0.25">
      <c r="C2608" s="2"/>
      <c r="D2608" s="2"/>
    </row>
    <row r="2609" spans="3:4" x14ac:dyDescent="0.25">
      <c r="C2609" s="2"/>
      <c r="D2609" s="2"/>
    </row>
    <row r="2610" spans="3:4" x14ac:dyDescent="0.25">
      <c r="C2610" s="2"/>
      <c r="D2610" s="2"/>
    </row>
    <row r="2611" spans="3:4" x14ac:dyDescent="0.25">
      <c r="C2611" s="2"/>
      <c r="D2611" s="2"/>
    </row>
    <row r="2612" spans="3:4" x14ac:dyDescent="0.25">
      <c r="C2612" s="2"/>
      <c r="D2612" s="2"/>
    </row>
    <row r="2613" spans="3:4" x14ac:dyDescent="0.25">
      <c r="C2613" s="2"/>
      <c r="D2613" s="2"/>
    </row>
    <row r="2614" spans="3:4" x14ac:dyDescent="0.25">
      <c r="C2614" s="2"/>
      <c r="D2614" s="2"/>
    </row>
    <row r="2615" spans="3:4" x14ac:dyDescent="0.25">
      <c r="C2615" s="2"/>
      <c r="D2615" s="2"/>
    </row>
    <row r="2616" spans="3:4" x14ac:dyDescent="0.25">
      <c r="C2616" s="2"/>
      <c r="D2616" s="2"/>
    </row>
    <row r="2617" spans="3:4" x14ac:dyDescent="0.25">
      <c r="C2617" s="2"/>
      <c r="D2617" s="2"/>
    </row>
    <row r="2618" spans="3:4" x14ac:dyDescent="0.25">
      <c r="C2618" s="2"/>
      <c r="D2618" s="2"/>
    </row>
    <row r="2619" spans="3:4" x14ac:dyDescent="0.25">
      <c r="C2619" s="2"/>
      <c r="D2619" s="2"/>
    </row>
    <row r="2620" spans="3:4" x14ac:dyDescent="0.25">
      <c r="C2620" s="2"/>
      <c r="D2620" s="2"/>
    </row>
    <row r="2621" spans="3:4" x14ac:dyDescent="0.25">
      <c r="C2621" s="2"/>
      <c r="D2621" s="2"/>
    </row>
    <row r="2622" spans="3:4" x14ac:dyDescent="0.25">
      <c r="C2622" s="2"/>
      <c r="D2622" s="2"/>
    </row>
    <row r="2623" spans="3:4" x14ac:dyDescent="0.25">
      <c r="C2623" s="2"/>
      <c r="D2623" s="2"/>
    </row>
    <row r="2624" spans="3:4" x14ac:dyDescent="0.25">
      <c r="C2624" s="2"/>
      <c r="D2624" s="2"/>
    </row>
    <row r="2625" spans="3:4" x14ac:dyDescent="0.25">
      <c r="C2625" s="2"/>
      <c r="D2625" s="2"/>
    </row>
    <row r="2626" spans="3:4" x14ac:dyDescent="0.25">
      <c r="C2626" s="2"/>
      <c r="D2626" s="2"/>
    </row>
    <row r="2627" spans="3:4" x14ac:dyDescent="0.25">
      <c r="C2627" s="2"/>
      <c r="D2627" s="2"/>
    </row>
    <row r="2628" spans="3:4" x14ac:dyDescent="0.25">
      <c r="C2628" s="2"/>
      <c r="D2628" s="2"/>
    </row>
    <row r="2629" spans="3:4" x14ac:dyDescent="0.25">
      <c r="C2629" s="2"/>
      <c r="D2629" s="2"/>
    </row>
    <row r="2630" spans="3:4" x14ac:dyDescent="0.25">
      <c r="C2630" s="2"/>
      <c r="D2630" s="2"/>
    </row>
    <row r="2631" spans="3:4" x14ac:dyDescent="0.25">
      <c r="C2631" s="2"/>
      <c r="D2631" s="2"/>
    </row>
    <row r="2632" spans="3:4" x14ac:dyDescent="0.25">
      <c r="C2632" s="2"/>
      <c r="D2632" s="2"/>
    </row>
    <row r="2633" spans="3:4" x14ac:dyDescent="0.25">
      <c r="C2633" s="2"/>
      <c r="D2633" s="2"/>
    </row>
    <row r="2634" spans="3:4" x14ac:dyDescent="0.25">
      <c r="C2634" s="2"/>
      <c r="D2634" s="2"/>
    </row>
    <row r="2635" spans="3:4" x14ac:dyDescent="0.25">
      <c r="C2635" s="2"/>
      <c r="D2635" s="2"/>
    </row>
    <row r="2636" spans="3:4" x14ac:dyDescent="0.25">
      <c r="C2636" s="2"/>
      <c r="D2636" s="2"/>
    </row>
    <row r="2637" spans="3:4" x14ac:dyDescent="0.25">
      <c r="C2637" s="2"/>
      <c r="D2637" s="2"/>
    </row>
    <row r="2638" spans="3:4" x14ac:dyDescent="0.25">
      <c r="C2638" s="2"/>
      <c r="D2638" s="2"/>
    </row>
    <row r="2639" spans="3:4" x14ac:dyDescent="0.25">
      <c r="C2639" s="2"/>
      <c r="D2639" s="2"/>
    </row>
    <row r="2640" spans="3:4" x14ac:dyDescent="0.25">
      <c r="C2640" s="2"/>
      <c r="D2640" s="2"/>
    </row>
    <row r="2641" spans="3:4" x14ac:dyDescent="0.25">
      <c r="C2641" s="2"/>
      <c r="D2641" s="2"/>
    </row>
    <row r="2642" spans="3:4" x14ac:dyDescent="0.25">
      <c r="C2642" s="2"/>
      <c r="D2642" s="2"/>
    </row>
    <row r="2643" spans="3:4" x14ac:dyDescent="0.25">
      <c r="C2643" s="2"/>
      <c r="D2643" s="2"/>
    </row>
    <row r="2644" spans="3:4" x14ac:dyDescent="0.25">
      <c r="C2644" s="2"/>
      <c r="D2644" s="2"/>
    </row>
    <row r="2645" spans="3:4" x14ac:dyDescent="0.25">
      <c r="C2645" s="2"/>
      <c r="D2645" s="2"/>
    </row>
    <row r="2646" spans="3:4" x14ac:dyDescent="0.25">
      <c r="C2646" s="2"/>
      <c r="D2646" s="2"/>
    </row>
    <row r="2647" spans="3:4" x14ac:dyDescent="0.25">
      <c r="C2647" s="2"/>
      <c r="D2647" s="2"/>
    </row>
    <row r="2648" spans="3:4" x14ac:dyDescent="0.25">
      <c r="C2648" s="2"/>
      <c r="D2648" s="2"/>
    </row>
    <row r="2649" spans="3:4" x14ac:dyDescent="0.25">
      <c r="C2649" s="2"/>
      <c r="D2649" s="2"/>
    </row>
    <row r="2650" spans="3:4" x14ac:dyDescent="0.25">
      <c r="C2650" s="2"/>
      <c r="D2650" s="2"/>
    </row>
    <row r="2651" spans="3:4" x14ac:dyDescent="0.25">
      <c r="C2651" s="2"/>
      <c r="D2651" s="2"/>
    </row>
    <row r="2652" spans="3:4" x14ac:dyDescent="0.25">
      <c r="C2652" s="2"/>
      <c r="D2652" s="2"/>
    </row>
    <row r="2653" spans="3:4" x14ac:dyDescent="0.25">
      <c r="C2653" s="2"/>
      <c r="D2653" s="2"/>
    </row>
    <row r="2654" spans="3:4" x14ac:dyDescent="0.25">
      <c r="C2654" s="2"/>
      <c r="D2654" s="2"/>
    </row>
    <row r="2655" spans="3:4" x14ac:dyDescent="0.25">
      <c r="C2655" s="2"/>
      <c r="D2655" s="2"/>
    </row>
    <row r="2656" spans="3:4" x14ac:dyDescent="0.25">
      <c r="C2656" s="2"/>
      <c r="D2656" s="2"/>
    </row>
    <row r="2657" spans="3:4" x14ac:dyDescent="0.25">
      <c r="C2657" s="2"/>
      <c r="D2657" s="2"/>
    </row>
    <row r="2658" spans="3:4" x14ac:dyDescent="0.25">
      <c r="C2658" s="2"/>
      <c r="D2658" s="2"/>
    </row>
    <row r="2659" spans="3:4" x14ac:dyDescent="0.25">
      <c r="C2659" s="2"/>
      <c r="D2659" s="2"/>
    </row>
    <row r="2660" spans="3:4" x14ac:dyDescent="0.25">
      <c r="C2660" s="2"/>
      <c r="D2660" s="2"/>
    </row>
    <row r="2661" spans="3:4" x14ac:dyDescent="0.25">
      <c r="C2661" s="2"/>
      <c r="D2661" s="2"/>
    </row>
    <row r="2662" spans="3:4" x14ac:dyDescent="0.25">
      <c r="C2662" s="2"/>
      <c r="D2662" s="2"/>
    </row>
    <row r="2663" spans="3:4" x14ac:dyDescent="0.25">
      <c r="C2663" s="2"/>
      <c r="D2663" s="2"/>
    </row>
    <row r="2664" spans="3:4" x14ac:dyDescent="0.25">
      <c r="C2664" s="2"/>
      <c r="D2664" s="2"/>
    </row>
    <row r="2665" spans="3:4" x14ac:dyDescent="0.25">
      <c r="C2665" s="2"/>
      <c r="D2665" s="2"/>
    </row>
    <row r="2666" spans="3:4" x14ac:dyDescent="0.25">
      <c r="C2666" s="2"/>
      <c r="D2666" s="2"/>
    </row>
    <row r="2667" spans="3:4" x14ac:dyDescent="0.25">
      <c r="C2667" s="2"/>
      <c r="D2667" s="2"/>
    </row>
    <row r="2668" spans="3:4" x14ac:dyDescent="0.25">
      <c r="C2668" s="2"/>
      <c r="D2668" s="2"/>
    </row>
    <row r="2669" spans="3:4" x14ac:dyDescent="0.25">
      <c r="C2669" s="2"/>
      <c r="D2669" s="2"/>
    </row>
    <row r="2670" spans="3:4" x14ac:dyDescent="0.25">
      <c r="C2670" s="2"/>
      <c r="D2670" s="2"/>
    </row>
    <row r="2671" spans="3:4" x14ac:dyDescent="0.25">
      <c r="C2671" s="2"/>
      <c r="D2671" s="2"/>
    </row>
    <row r="2672" spans="3:4" x14ac:dyDescent="0.25">
      <c r="C2672" s="2"/>
      <c r="D2672" s="2"/>
    </row>
    <row r="2673" spans="3:4" x14ac:dyDescent="0.25">
      <c r="C2673" s="2"/>
      <c r="D2673" s="2"/>
    </row>
    <row r="2674" spans="3:4" x14ac:dyDescent="0.25">
      <c r="C2674" s="2"/>
      <c r="D2674" s="2"/>
    </row>
    <row r="2675" spans="3:4" x14ac:dyDescent="0.25">
      <c r="C2675" s="2"/>
      <c r="D2675" s="2"/>
    </row>
    <row r="2676" spans="3:4" x14ac:dyDescent="0.25">
      <c r="C2676" s="2"/>
      <c r="D2676" s="2"/>
    </row>
    <row r="2677" spans="3:4" x14ac:dyDescent="0.25">
      <c r="C2677" s="2"/>
      <c r="D2677" s="2"/>
    </row>
    <row r="2678" spans="3:4" x14ac:dyDescent="0.25">
      <c r="C2678" s="2"/>
      <c r="D2678" s="2"/>
    </row>
    <row r="2679" spans="3:4" x14ac:dyDescent="0.25">
      <c r="C2679" s="2"/>
      <c r="D2679" s="2"/>
    </row>
    <row r="2680" spans="3:4" x14ac:dyDescent="0.25">
      <c r="C2680" s="2"/>
      <c r="D2680" s="2"/>
    </row>
    <row r="2681" spans="3:4" x14ac:dyDescent="0.25">
      <c r="C2681" s="2"/>
      <c r="D2681" s="2"/>
    </row>
    <row r="2682" spans="3:4" x14ac:dyDescent="0.25">
      <c r="C2682" s="2"/>
      <c r="D2682" s="2"/>
    </row>
    <row r="2683" spans="3:4" x14ac:dyDescent="0.25">
      <c r="C2683" s="2"/>
      <c r="D2683" s="2"/>
    </row>
    <row r="2684" spans="3:4" x14ac:dyDescent="0.25">
      <c r="C2684" s="2"/>
      <c r="D2684" s="2"/>
    </row>
    <row r="2685" spans="3:4" x14ac:dyDescent="0.25">
      <c r="C2685" s="2"/>
      <c r="D2685" s="2"/>
    </row>
    <row r="2686" spans="3:4" x14ac:dyDescent="0.25">
      <c r="C2686" s="2"/>
      <c r="D2686" s="2"/>
    </row>
    <row r="2687" spans="3:4" x14ac:dyDescent="0.25">
      <c r="C2687" s="2"/>
      <c r="D2687" s="2"/>
    </row>
    <row r="2688" spans="3:4" x14ac:dyDescent="0.25">
      <c r="C2688" s="2"/>
      <c r="D2688" s="2"/>
    </row>
    <row r="2689" spans="3:4" x14ac:dyDescent="0.25">
      <c r="C2689" s="2"/>
      <c r="D2689" s="2"/>
    </row>
    <row r="2690" spans="3:4" x14ac:dyDescent="0.25">
      <c r="C2690" s="2"/>
      <c r="D2690" s="2"/>
    </row>
    <row r="2691" spans="3:4" x14ac:dyDescent="0.25">
      <c r="C2691" s="2"/>
      <c r="D2691" s="2"/>
    </row>
    <row r="2692" spans="3:4" x14ac:dyDescent="0.25">
      <c r="C2692" s="2"/>
      <c r="D2692" s="2"/>
    </row>
    <row r="2693" spans="3:4" x14ac:dyDescent="0.25">
      <c r="C2693" s="2"/>
      <c r="D2693" s="2"/>
    </row>
    <row r="2694" spans="3:4" x14ac:dyDescent="0.25">
      <c r="C2694" s="2"/>
      <c r="D2694" s="2"/>
    </row>
    <row r="2695" spans="3:4" x14ac:dyDescent="0.25">
      <c r="C2695" s="2"/>
      <c r="D2695" s="2"/>
    </row>
    <row r="2696" spans="3:4" x14ac:dyDescent="0.25">
      <c r="C2696" s="2"/>
      <c r="D2696" s="2"/>
    </row>
    <row r="2697" spans="3:4" x14ac:dyDescent="0.25">
      <c r="C2697" s="2"/>
      <c r="D2697" s="2"/>
    </row>
    <row r="2698" spans="3:4" x14ac:dyDescent="0.25">
      <c r="C2698" s="2"/>
      <c r="D2698" s="2"/>
    </row>
    <row r="2699" spans="3:4" x14ac:dyDescent="0.25">
      <c r="C2699" s="2"/>
      <c r="D2699" s="2"/>
    </row>
    <row r="2700" spans="3:4" x14ac:dyDescent="0.25">
      <c r="C2700" s="2"/>
      <c r="D2700" s="2"/>
    </row>
    <row r="2701" spans="3:4" x14ac:dyDescent="0.25">
      <c r="C2701" s="2"/>
      <c r="D2701" s="2"/>
    </row>
    <row r="2702" spans="3:4" x14ac:dyDescent="0.25">
      <c r="C2702" s="2"/>
      <c r="D2702" s="2"/>
    </row>
    <row r="2703" spans="3:4" x14ac:dyDescent="0.25">
      <c r="C2703" s="2"/>
      <c r="D2703" s="2"/>
    </row>
    <row r="2704" spans="3:4" x14ac:dyDescent="0.25">
      <c r="C2704" s="2"/>
      <c r="D2704" s="2"/>
    </row>
    <row r="2705" spans="3:4" x14ac:dyDescent="0.25">
      <c r="C2705" s="2"/>
      <c r="D2705" s="2"/>
    </row>
    <row r="2706" spans="3:4" x14ac:dyDescent="0.25">
      <c r="C2706" s="2"/>
      <c r="D2706" s="2"/>
    </row>
    <row r="2707" spans="3:4" x14ac:dyDescent="0.25">
      <c r="C2707" s="2"/>
      <c r="D2707" s="2"/>
    </row>
    <row r="2708" spans="3:4" x14ac:dyDescent="0.25">
      <c r="C2708" s="2"/>
      <c r="D2708" s="2"/>
    </row>
    <row r="2709" spans="3:4" x14ac:dyDescent="0.25">
      <c r="C2709" s="2"/>
      <c r="D2709" s="2"/>
    </row>
    <row r="2710" spans="3:4" x14ac:dyDescent="0.25">
      <c r="C2710" s="2"/>
      <c r="D2710" s="2"/>
    </row>
    <row r="2711" spans="3:4" x14ac:dyDescent="0.25">
      <c r="C2711" s="2"/>
      <c r="D2711" s="2"/>
    </row>
    <row r="2712" spans="3:4" x14ac:dyDescent="0.25">
      <c r="C2712" s="2"/>
      <c r="D2712" s="2"/>
    </row>
    <row r="2713" spans="3:4" x14ac:dyDescent="0.25">
      <c r="C2713" s="2"/>
      <c r="D2713" s="2"/>
    </row>
    <row r="2714" spans="3:4" x14ac:dyDescent="0.25">
      <c r="C2714" s="2"/>
      <c r="D2714" s="2"/>
    </row>
    <row r="2715" spans="3:4" x14ac:dyDescent="0.25">
      <c r="C2715" s="2"/>
      <c r="D2715" s="2"/>
    </row>
    <row r="2716" spans="3:4" x14ac:dyDescent="0.25">
      <c r="C2716" s="2"/>
      <c r="D2716" s="2"/>
    </row>
    <row r="2717" spans="3:4" x14ac:dyDescent="0.25">
      <c r="C2717" s="2"/>
      <c r="D2717" s="2"/>
    </row>
    <row r="2718" spans="3:4" x14ac:dyDescent="0.25">
      <c r="C2718" s="2"/>
      <c r="D2718" s="2"/>
    </row>
    <row r="2719" spans="3:4" x14ac:dyDescent="0.25">
      <c r="C2719" s="2"/>
      <c r="D2719" s="2"/>
    </row>
    <row r="2720" spans="3:4" x14ac:dyDescent="0.25">
      <c r="C2720" s="2"/>
      <c r="D2720" s="2"/>
    </row>
    <row r="2721" spans="3:4" x14ac:dyDescent="0.25">
      <c r="C2721" s="2"/>
      <c r="D2721" s="2"/>
    </row>
    <row r="2722" spans="3:4" x14ac:dyDescent="0.25">
      <c r="C2722" s="2"/>
      <c r="D2722" s="2"/>
    </row>
    <row r="2723" spans="3:4" x14ac:dyDescent="0.25">
      <c r="C2723" s="2"/>
      <c r="D2723" s="2"/>
    </row>
    <row r="2724" spans="3:4" x14ac:dyDescent="0.25">
      <c r="C2724" s="2"/>
      <c r="D2724" s="2"/>
    </row>
    <row r="2725" spans="3:4" x14ac:dyDescent="0.25">
      <c r="C2725" s="2"/>
      <c r="D2725" s="2"/>
    </row>
    <row r="2726" spans="3:4" x14ac:dyDescent="0.25">
      <c r="C2726" s="2"/>
      <c r="D2726" s="2"/>
    </row>
    <row r="2727" spans="3:4" x14ac:dyDescent="0.25">
      <c r="C2727" s="2"/>
      <c r="D2727" s="2"/>
    </row>
    <row r="2728" spans="3:4" x14ac:dyDescent="0.25">
      <c r="C2728" s="2"/>
      <c r="D2728" s="2"/>
    </row>
    <row r="2729" spans="3:4" x14ac:dyDescent="0.25">
      <c r="C2729" s="2"/>
      <c r="D2729" s="2"/>
    </row>
    <row r="2730" spans="3:4" x14ac:dyDescent="0.25">
      <c r="C2730" s="2"/>
      <c r="D2730" s="2"/>
    </row>
    <row r="2731" spans="3:4" x14ac:dyDescent="0.25">
      <c r="C2731" s="2"/>
      <c r="D2731" s="2"/>
    </row>
    <row r="2732" spans="3:4" x14ac:dyDescent="0.25">
      <c r="C2732" s="2"/>
      <c r="D2732" s="2"/>
    </row>
    <row r="2733" spans="3:4" x14ac:dyDescent="0.25">
      <c r="C2733" s="2"/>
      <c r="D2733" s="2"/>
    </row>
    <row r="2734" spans="3:4" x14ac:dyDescent="0.25">
      <c r="C2734" s="2"/>
      <c r="D2734" s="2"/>
    </row>
    <row r="2735" spans="3:4" x14ac:dyDescent="0.25">
      <c r="C2735" s="2"/>
      <c r="D2735" s="2"/>
    </row>
    <row r="2736" spans="3:4" x14ac:dyDescent="0.25">
      <c r="C2736" s="2"/>
      <c r="D2736" s="2"/>
    </row>
    <row r="2737" spans="3:4" x14ac:dyDescent="0.25">
      <c r="C2737" s="2"/>
      <c r="D2737" s="2"/>
    </row>
    <row r="2738" spans="3:4" x14ac:dyDescent="0.25">
      <c r="C2738" s="2"/>
      <c r="D2738" s="2"/>
    </row>
    <row r="2739" spans="3:4" x14ac:dyDescent="0.25">
      <c r="C2739" s="2"/>
      <c r="D2739" s="2"/>
    </row>
    <row r="2740" spans="3:4" x14ac:dyDescent="0.25">
      <c r="C2740" s="2"/>
      <c r="D2740" s="2"/>
    </row>
    <row r="2741" spans="3:4" x14ac:dyDescent="0.25">
      <c r="C2741" s="2"/>
      <c r="D2741" s="2"/>
    </row>
    <row r="2742" spans="3:4" x14ac:dyDescent="0.25">
      <c r="C2742" s="2"/>
      <c r="D2742" s="2"/>
    </row>
    <row r="2743" spans="3:4" x14ac:dyDescent="0.25">
      <c r="C2743" s="2"/>
      <c r="D2743" s="2"/>
    </row>
    <row r="2744" spans="3:4" x14ac:dyDescent="0.25">
      <c r="C2744" s="2"/>
      <c r="D2744" s="2"/>
    </row>
    <row r="2745" spans="3:4" x14ac:dyDescent="0.25">
      <c r="C2745" s="2"/>
      <c r="D2745" s="2"/>
    </row>
    <row r="2746" spans="3:4" x14ac:dyDescent="0.25">
      <c r="C2746" s="2"/>
      <c r="D2746" s="2"/>
    </row>
    <row r="2747" spans="3:4" x14ac:dyDescent="0.25">
      <c r="C2747" s="2"/>
      <c r="D2747" s="2"/>
    </row>
    <row r="2748" spans="3:4" x14ac:dyDescent="0.25">
      <c r="C2748" s="2"/>
      <c r="D2748" s="2"/>
    </row>
    <row r="2749" spans="3:4" x14ac:dyDescent="0.25">
      <c r="C2749" s="2"/>
      <c r="D2749" s="2"/>
    </row>
    <row r="2750" spans="3:4" x14ac:dyDescent="0.25">
      <c r="C2750" s="2"/>
      <c r="D2750" s="2"/>
    </row>
    <row r="2751" spans="3:4" x14ac:dyDescent="0.25">
      <c r="C2751" s="2"/>
      <c r="D2751" s="2"/>
    </row>
    <row r="2752" spans="3:4" x14ac:dyDescent="0.25">
      <c r="C2752" s="2"/>
      <c r="D2752" s="2"/>
    </row>
    <row r="2753" spans="3:4" x14ac:dyDescent="0.25">
      <c r="C2753" s="2"/>
      <c r="D2753" s="2"/>
    </row>
    <row r="2754" spans="3:4" x14ac:dyDescent="0.25">
      <c r="C2754" s="2"/>
      <c r="D2754" s="2"/>
    </row>
    <row r="2755" spans="3:4" x14ac:dyDescent="0.25">
      <c r="C2755" s="2"/>
      <c r="D2755" s="2"/>
    </row>
    <row r="2756" spans="3:4" x14ac:dyDescent="0.25">
      <c r="C2756" s="2"/>
      <c r="D2756" s="2"/>
    </row>
    <row r="2757" spans="3:4" x14ac:dyDescent="0.25">
      <c r="C2757" s="2"/>
      <c r="D2757" s="2"/>
    </row>
    <row r="2758" spans="3:4" x14ac:dyDescent="0.25">
      <c r="C2758" s="2"/>
      <c r="D2758" s="2"/>
    </row>
    <row r="2759" spans="3:4" x14ac:dyDescent="0.25">
      <c r="C2759" s="2"/>
      <c r="D2759" s="2"/>
    </row>
    <row r="2760" spans="3:4" x14ac:dyDescent="0.25">
      <c r="C2760" s="2"/>
      <c r="D2760" s="2"/>
    </row>
    <row r="2761" spans="3:4" x14ac:dyDescent="0.25">
      <c r="C2761" s="2"/>
      <c r="D2761" s="2"/>
    </row>
    <row r="2762" spans="3:4" x14ac:dyDescent="0.25">
      <c r="C2762" s="2"/>
      <c r="D2762" s="2"/>
    </row>
    <row r="2763" spans="3:4" x14ac:dyDescent="0.25">
      <c r="C2763" s="2"/>
      <c r="D2763" s="2"/>
    </row>
    <row r="2764" spans="3:4" x14ac:dyDescent="0.25">
      <c r="C2764" s="2"/>
      <c r="D2764" s="2"/>
    </row>
    <row r="2765" spans="3:4" x14ac:dyDescent="0.25">
      <c r="C2765" s="2"/>
      <c r="D2765" s="2"/>
    </row>
    <row r="2766" spans="3:4" x14ac:dyDescent="0.25">
      <c r="C2766" s="2"/>
      <c r="D2766" s="2"/>
    </row>
    <row r="2767" spans="3:4" x14ac:dyDescent="0.25">
      <c r="C2767" s="2"/>
      <c r="D2767" s="2"/>
    </row>
    <row r="2768" spans="3:4" x14ac:dyDescent="0.25">
      <c r="C2768" s="2"/>
      <c r="D2768" s="2"/>
    </row>
    <row r="2769" spans="3:4" x14ac:dyDescent="0.25">
      <c r="C2769" s="2"/>
      <c r="D2769" s="2"/>
    </row>
    <row r="2770" spans="3:4" x14ac:dyDescent="0.25">
      <c r="C2770" s="2"/>
      <c r="D2770" s="2"/>
    </row>
    <row r="2771" spans="3:4" x14ac:dyDescent="0.25">
      <c r="C2771" s="2"/>
      <c r="D2771" s="2"/>
    </row>
    <row r="2772" spans="3:4" x14ac:dyDescent="0.25">
      <c r="C2772" s="2"/>
      <c r="D2772" s="2"/>
    </row>
    <row r="2773" spans="3:4" x14ac:dyDescent="0.25">
      <c r="C2773" s="2"/>
      <c r="D2773" s="2"/>
    </row>
    <row r="2774" spans="3:4" x14ac:dyDescent="0.25">
      <c r="C2774" s="2"/>
      <c r="D2774" s="2"/>
    </row>
    <row r="2775" spans="3:4" x14ac:dyDescent="0.25">
      <c r="C2775" s="2"/>
      <c r="D2775" s="2"/>
    </row>
    <row r="2776" spans="3:4" x14ac:dyDescent="0.25">
      <c r="C2776" s="2"/>
      <c r="D2776" s="2"/>
    </row>
    <row r="2777" spans="3:4" x14ac:dyDescent="0.25">
      <c r="C2777" s="2"/>
      <c r="D2777" s="2"/>
    </row>
    <row r="2778" spans="3:4" x14ac:dyDescent="0.25">
      <c r="C2778" s="2"/>
      <c r="D2778" s="2"/>
    </row>
    <row r="2779" spans="3:4" x14ac:dyDescent="0.25">
      <c r="C2779" s="2"/>
      <c r="D2779" s="2"/>
    </row>
    <row r="2780" spans="3:4" x14ac:dyDescent="0.25">
      <c r="C2780" s="2"/>
      <c r="D2780" s="2"/>
    </row>
    <row r="2781" spans="3:4" x14ac:dyDescent="0.25">
      <c r="C2781" s="2"/>
      <c r="D2781" s="2"/>
    </row>
    <row r="2782" spans="3:4" x14ac:dyDescent="0.25">
      <c r="C2782" s="2"/>
      <c r="D2782" s="2"/>
    </row>
    <row r="2783" spans="3:4" x14ac:dyDescent="0.25">
      <c r="C2783" s="2"/>
      <c r="D2783" s="2"/>
    </row>
    <row r="2784" spans="3:4" x14ac:dyDescent="0.25">
      <c r="C2784" s="2"/>
      <c r="D2784" s="2"/>
    </row>
    <row r="2785" spans="3:4" x14ac:dyDescent="0.25">
      <c r="C2785" s="2"/>
      <c r="D2785" s="2"/>
    </row>
    <row r="2786" spans="3:4" x14ac:dyDescent="0.25">
      <c r="C2786" s="2"/>
      <c r="D2786" s="2"/>
    </row>
    <row r="2787" spans="3:4" x14ac:dyDescent="0.25">
      <c r="C2787" s="2"/>
      <c r="D2787" s="2"/>
    </row>
    <row r="2788" spans="3:4" x14ac:dyDescent="0.25">
      <c r="C2788" s="2"/>
      <c r="D2788" s="2"/>
    </row>
    <row r="2789" spans="3:4" x14ac:dyDescent="0.25">
      <c r="C2789" s="2"/>
      <c r="D2789" s="2"/>
    </row>
    <row r="2790" spans="3:4" x14ac:dyDescent="0.25">
      <c r="C2790" s="2"/>
      <c r="D2790" s="2"/>
    </row>
    <row r="2791" spans="3:4" x14ac:dyDescent="0.25">
      <c r="C2791" s="2"/>
      <c r="D2791" s="2"/>
    </row>
    <row r="2792" spans="3:4" x14ac:dyDescent="0.25">
      <c r="C2792" s="2"/>
      <c r="D2792" s="2"/>
    </row>
    <row r="2793" spans="3:4" x14ac:dyDescent="0.25">
      <c r="C2793" s="2"/>
      <c r="D2793" s="2"/>
    </row>
    <row r="2794" spans="3:4" x14ac:dyDescent="0.25">
      <c r="C2794" s="2"/>
      <c r="D2794" s="2"/>
    </row>
    <row r="2795" spans="3:4" x14ac:dyDescent="0.25">
      <c r="C2795" s="2"/>
      <c r="D2795" s="2"/>
    </row>
    <row r="2796" spans="3:4" x14ac:dyDescent="0.25">
      <c r="C2796" s="2"/>
      <c r="D2796" s="2"/>
    </row>
    <row r="2797" spans="3:4" x14ac:dyDescent="0.25">
      <c r="C2797" s="2"/>
      <c r="D2797" s="2"/>
    </row>
    <row r="2798" spans="3:4" x14ac:dyDescent="0.25">
      <c r="C2798" s="2"/>
      <c r="D2798" s="2"/>
    </row>
    <row r="2799" spans="3:4" x14ac:dyDescent="0.25">
      <c r="C2799" s="2"/>
      <c r="D2799" s="2"/>
    </row>
    <row r="2800" spans="3:4" x14ac:dyDescent="0.25">
      <c r="C2800" s="2"/>
      <c r="D2800" s="2"/>
    </row>
    <row r="2801" spans="3:4" x14ac:dyDescent="0.25">
      <c r="C2801" s="2"/>
      <c r="D2801" s="2"/>
    </row>
    <row r="2802" spans="3:4" x14ac:dyDescent="0.25">
      <c r="C2802" s="2"/>
      <c r="D2802" s="2"/>
    </row>
    <row r="2803" spans="3:4" x14ac:dyDescent="0.25">
      <c r="C2803" s="2"/>
      <c r="D2803" s="2"/>
    </row>
    <row r="2804" spans="3:4" x14ac:dyDescent="0.25">
      <c r="C2804" s="2"/>
      <c r="D2804" s="2"/>
    </row>
    <row r="2805" spans="3:4" x14ac:dyDescent="0.25">
      <c r="C2805" s="2"/>
      <c r="D2805" s="2"/>
    </row>
    <row r="2806" spans="3:4" x14ac:dyDescent="0.25">
      <c r="C2806" s="2"/>
      <c r="D2806" s="2"/>
    </row>
    <row r="2807" spans="3:4" x14ac:dyDescent="0.25">
      <c r="C2807" s="2"/>
      <c r="D2807" s="2"/>
    </row>
    <row r="2808" spans="3:4" x14ac:dyDescent="0.25">
      <c r="C2808" s="2"/>
      <c r="D2808" s="2"/>
    </row>
    <row r="2809" spans="3:4" x14ac:dyDescent="0.25">
      <c r="C2809" s="2"/>
      <c r="D2809" s="2"/>
    </row>
    <row r="2810" spans="3:4" x14ac:dyDescent="0.25">
      <c r="C2810" s="2"/>
      <c r="D2810" s="2"/>
    </row>
    <row r="2811" spans="3:4" x14ac:dyDescent="0.25">
      <c r="C2811" s="2"/>
      <c r="D2811" s="2"/>
    </row>
    <row r="2812" spans="3:4" x14ac:dyDescent="0.25">
      <c r="C2812" s="2"/>
      <c r="D2812" s="2"/>
    </row>
    <row r="2813" spans="3:4" x14ac:dyDescent="0.25">
      <c r="C2813" s="2"/>
      <c r="D2813" s="2"/>
    </row>
    <row r="2814" spans="3:4" x14ac:dyDescent="0.25">
      <c r="C2814" s="2"/>
      <c r="D2814" s="2"/>
    </row>
    <row r="2815" spans="3:4" x14ac:dyDescent="0.25">
      <c r="C2815" s="2"/>
      <c r="D2815" s="2"/>
    </row>
    <row r="2816" spans="3:4" x14ac:dyDescent="0.25">
      <c r="C2816" s="2"/>
      <c r="D2816" s="2"/>
    </row>
    <row r="2817" spans="3:4" x14ac:dyDescent="0.25">
      <c r="C2817" s="2"/>
      <c r="D2817" s="2"/>
    </row>
    <row r="2818" spans="3:4" x14ac:dyDescent="0.25">
      <c r="C2818" s="2"/>
      <c r="D2818" s="2"/>
    </row>
    <row r="2819" spans="3:4" x14ac:dyDescent="0.25">
      <c r="C2819" s="2"/>
      <c r="D2819" s="2"/>
    </row>
    <row r="2820" spans="3:4" x14ac:dyDescent="0.25">
      <c r="C2820" s="2"/>
      <c r="D2820" s="2"/>
    </row>
    <row r="2821" spans="3:4" x14ac:dyDescent="0.25">
      <c r="C2821" s="2"/>
      <c r="D2821" s="2"/>
    </row>
    <row r="2822" spans="3:4" x14ac:dyDescent="0.25">
      <c r="C2822" s="2"/>
      <c r="D2822" s="2"/>
    </row>
    <row r="2823" spans="3:4" x14ac:dyDescent="0.25">
      <c r="C2823" s="2"/>
      <c r="D2823" s="2"/>
    </row>
    <row r="2824" spans="3:4" x14ac:dyDescent="0.25">
      <c r="C2824" s="2"/>
      <c r="D2824" s="2"/>
    </row>
    <row r="2825" spans="3:4" x14ac:dyDescent="0.25">
      <c r="C2825" s="2"/>
      <c r="D2825" s="2"/>
    </row>
    <row r="2826" spans="3:4" x14ac:dyDescent="0.25">
      <c r="C2826" s="2"/>
      <c r="D2826" s="2"/>
    </row>
    <row r="2827" spans="3:4" x14ac:dyDescent="0.25">
      <c r="C2827" s="2"/>
      <c r="D2827" s="2"/>
    </row>
    <row r="2828" spans="3:4" x14ac:dyDescent="0.25">
      <c r="C2828" s="2"/>
      <c r="D2828" s="2"/>
    </row>
    <row r="2829" spans="3:4" x14ac:dyDescent="0.25">
      <c r="C2829" s="2"/>
      <c r="D2829" s="2"/>
    </row>
    <row r="2830" spans="3:4" x14ac:dyDescent="0.25">
      <c r="C2830" s="2"/>
      <c r="D2830" s="2"/>
    </row>
    <row r="2831" spans="3:4" x14ac:dyDescent="0.25">
      <c r="C2831" s="2"/>
      <c r="D2831" s="2"/>
    </row>
    <row r="2832" spans="3:4" x14ac:dyDescent="0.25">
      <c r="C2832" s="2"/>
      <c r="D2832" s="2"/>
    </row>
    <row r="2833" spans="3:4" x14ac:dyDescent="0.25">
      <c r="C2833" s="2"/>
      <c r="D2833" s="2"/>
    </row>
    <row r="2834" spans="3:4" x14ac:dyDescent="0.25">
      <c r="C2834" s="2"/>
      <c r="D2834" s="2"/>
    </row>
    <row r="2835" spans="3:4" x14ac:dyDescent="0.25">
      <c r="C2835" s="2"/>
      <c r="D2835" s="2"/>
    </row>
    <row r="2836" spans="3:4" x14ac:dyDescent="0.25">
      <c r="C2836" s="2"/>
      <c r="D2836" s="2"/>
    </row>
    <row r="2837" spans="3:4" x14ac:dyDescent="0.25">
      <c r="C2837" s="2"/>
      <c r="D2837" s="2"/>
    </row>
    <row r="2838" spans="3:4" x14ac:dyDescent="0.25">
      <c r="C2838" s="2"/>
      <c r="D2838" s="2"/>
    </row>
    <row r="2839" spans="3:4" x14ac:dyDescent="0.25">
      <c r="C2839" s="2"/>
      <c r="D2839" s="2"/>
    </row>
    <row r="2840" spans="3:4" x14ac:dyDescent="0.25">
      <c r="C2840" s="2"/>
      <c r="D2840" s="2"/>
    </row>
    <row r="2841" spans="3:4" x14ac:dyDescent="0.25">
      <c r="C2841" s="2"/>
      <c r="D2841" s="2"/>
    </row>
    <row r="2842" spans="3:4" x14ac:dyDescent="0.25">
      <c r="C2842" s="2"/>
      <c r="D2842" s="2"/>
    </row>
    <row r="2843" spans="3:4" x14ac:dyDescent="0.25">
      <c r="C2843" s="2"/>
      <c r="D2843" s="2"/>
    </row>
    <row r="2844" spans="3:4" x14ac:dyDescent="0.25">
      <c r="C2844" s="2"/>
      <c r="D2844" s="2"/>
    </row>
    <row r="2845" spans="3:4" x14ac:dyDescent="0.25">
      <c r="C2845" s="2"/>
      <c r="D2845" s="2"/>
    </row>
    <row r="2846" spans="3:4" x14ac:dyDescent="0.25">
      <c r="C2846" s="2"/>
      <c r="D2846" s="2"/>
    </row>
    <row r="2847" spans="3:4" x14ac:dyDescent="0.25">
      <c r="C2847" s="2"/>
      <c r="D2847" s="2"/>
    </row>
    <row r="2848" spans="3:4" x14ac:dyDescent="0.25">
      <c r="C2848" s="2"/>
      <c r="D2848" s="2"/>
    </row>
    <row r="2849" spans="3:4" x14ac:dyDescent="0.25">
      <c r="C2849" s="2"/>
      <c r="D2849" s="2"/>
    </row>
    <row r="2850" spans="3:4" x14ac:dyDescent="0.25">
      <c r="C2850" s="2"/>
      <c r="D2850" s="2"/>
    </row>
    <row r="2851" spans="3:4" x14ac:dyDescent="0.25">
      <c r="C2851" s="2"/>
      <c r="D2851" s="2"/>
    </row>
    <row r="2852" spans="3:4" x14ac:dyDescent="0.25">
      <c r="C2852" s="2"/>
      <c r="D2852" s="2"/>
    </row>
    <row r="2853" spans="3:4" x14ac:dyDescent="0.25">
      <c r="C2853" s="2"/>
      <c r="D2853" s="2"/>
    </row>
    <row r="2854" spans="3:4" x14ac:dyDescent="0.25">
      <c r="C2854" s="2"/>
      <c r="D2854" s="2"/>
    </row>
    <row r="2855" spans="3:4" x14ac:dyDescent="0.25">
      <c r="C2855" s="2"/>
      <c r="D2855" s="2"/>
    </row>
    <row r="2856" spans="3:4" x14ac:dyDescent="0.25">
      <c r="C2856" s="2"/>
      <c r="D2856" s="2"/>
    </row>
    <row r="2857" spans="3:4" x14ac:dyDescent="0.25">
      <c r="C2857" s="2"/>
      <c r="D2857" s="2"/>
    </row>
    <row r="2858" spans="3:4" x14ac:dyDescent="0.25">
      <c r="C2858" s="2"/>
      <c r="D2858" s="2"/>
    </row>
    <row r="2859" spans="3:4" x14ac:dyDescent="0.25">
      <c r="C2859" s="2"/>
      <c r="D2859" s="2"/>
    </row>
    <row r="2860" spans="3:4" x14ac:dyDescent="0.25">
      <c r="C2860" s="2"/>
      <c r="D2860" s="2"/>
    </row>
    <row r="2861" spans="3:4" x14ac:dyDescent="0.25">
      <c r="C2861" s="2"/>
      <c r="D2861" s="2"/>
    </row>
    <row r="2862" spans="3:4" x14ac:dyDescent="0.25">
      <c r="C2862" s="2"/>
      <c r="D2862" s="2"/>
    </row>
    <row r="2863" spans="3:4" x14ac:dyDescent="0.25">
      <c r="C2863" s="2"/>
      <c r="D2863" s="2"/>
    </row>
    <row r="2864" spans="3:4" x14ac:dyDescent="0.25">
      <c r="C2864" s="2"/>
      <c r="D2864" s="2"/>
    </row>
    <row r="2865" spans="3:4" x14ac:dyDescent="0.25">
      <c r="C2865" s="2"/>
      <c r="D2865" s="2"/>
    </row>
    <row r="2866" spans="3:4" x14ac:dyDescent="0.25">
      <c r="C2866" s="2"/>
      <c r="D2866" s="2"/>
    </row>
    <row r="2867" spans="3:4" x14ac:dyDescent="0.25">
      <c r="C2867" s="2"/>
      <c r="D2867" s="2"/>
    </row>
    <row r="2868" spans="3:4" x14ac:dyDescent="0.25">
      <c r="C2868" s="2"/>
      <c r="D2868" s="2"/>
    </row>
    <row r="2869" spans="3:4" x14ac:dyDescent="0.25">
      <c r="C2869" s="2"/>
      <c r="D2869" s="2"/>
    </row>
    <row r="2870" spans="3:4" x14ac:dyDescent="0.25">
      <c r="C2870" s="2"/>
      <c r="D2870" s="2"/>
    </row>
    <row r="2871" spans="3:4" x14ac:dyDescent="0.25">
      <c r="C2871" s="2"/>
      <c r="D2871" s="2"/>
    </row>
    <row r="2872" spans="3:4" x14ac:dyDescent="0.25">
      <c r="C2872" s="2"/>
      <c r="D2872" s="2"/>
    </row>
    <row r="2873" spans="3:4" x14ac:dyDescent="0.25">
      <c r="C2873" s="2"/>
      <c r="D2873" s="2"/>
    </row>
    <row r="2874" spans="3:4" x14ac:dyDescent="0.25">
      <c r="C2874" s="2"/>
      <c r="D2874" s="2"/>
    </row>
    <row r="2875" spans="3:4" x14ac:dyDescent="0.25">
      <c r="C2875" s="2"/>
      <c r="D2875" s="2"/>
    </row>
    <row r="2876" spans="3:4" x14ac:dyDescent="0.25">
      <c r="C2876" s="2"/>
      <c r="D2876" s="2"/>
    </row>
    <row r="2877" spans="3:4" x14ac:dyDescent="0.25">
      <c r="C2877" s="2"/>
      <c r="D2877" s="2"/>
    </row>
    <row r="2878" spans="3:4" x14ac:dyDescent="0.25">
      <c r="C2878" s="2"/>
      <c r="D2878" s="2"/>
    </row>
    <row r="2879" spans="3:4" x14ac:dyDescent="0.25">
      <c r="C2879" s="2"/>
      <c r="D2879" s="2"/>
    </row>
    <row r="2880" spans="3:4" x14ac:dyDescent="0.25">
      <c r="C2880" s="2"/>
      <c r="D2880" s="2"/>
    </row>
    <row r="2881" spans="3:4" x14ac:dyDescent="0.25">
      <c r="C2881" s="2"/>
      <c r="D2881" s="2"/>
    </row>
    <row r="2882" spans="3:4" x14ac:dyDescent="0.25">
      <c r="C2882" s="2"/>
      <c r="D2882" s="2"/>
    </row>
    <row r="2883" spans="3:4" x14ac:dyDescent="0.25">
      <c r="C2883" s="2"/>
      <c r="D2883" s="2"/>
    </row>
    <row r="2884" spans="3:4" x14ac:dyDescent="0.25">
      <c r="C2884" s="2"/>
      <c r="D2884" s="2"/>
    </row>
    <row r="2885" spans="3:4" x14ac:dyDescent="0.25">
      <c r="C2885" s="2"/>
      <c r="D2885" s="2"/>
    </row>
    <row r="2886" spans="3:4" x14ac:dyDescent="0.25">
      <c r="C2886" s="2"/>
      <c r="D2886" s="2"/>
    </row>
    <row r="2887" spans="3:4" x14ac:dyDescent="0.25">
      <c r="C2887" s="2"/>
      <c r="D2887" s="2"/>
    </row>
    <row r="2888" spans="3:4" x14ac:dyDescent="0.25">
      <c r="C2888" s="2"/>
      <c r="D2888" s="2"/>
    </row>
    <row r="2889" spans="3:4" x14ac:dyDescent="0.25">
      <c r="C2889" s="2"/>
      <c r="D2889" s="2"/>
    </row>
    <row r="2890" spans="3:4" x14ac:dyDescent="0.25">
      <c r="C2890" s="2"/>
      <c r="D2890" s="2"/>
    </row>
    <row r="2891" spans="3:4" x14ac:dyDescent="0.25">
      <c r="C2891" s="2"/>
      <c r="D2891" s="2"/>
    </row>
    <row r="2892" spans="3:4" x14ac:dyDescent="0.25">
      <c r="C2892" s="2"/>
      <c r="D2892" s="2"/>
    </row>
    <row r="2893" spans="3:4" x14ac:dyDescent="0.25">
      <c r="C2893" s="2"/>
      <c r="D2893" s="2"/>
    </row>
    <row r="2894" spans="3:4" x14ac:dyDescent="0.25">
      <c r="C2894" s="2"/>
      <c r="D2894" s="2"/>
    </row>
    <row r="2895" spans="3:4" x14ac:dyDescent="0.25">
      <c r="C2895" s="2"/>
      <c r="D2895" s="2"/>
    </row>
    <row r="2896" spans="3:4" x14ac:dyDescent="0.25">
      <c r="C2896" s="2"/>
      <c r="D2896" s="2"/>
    </row>
    <row r="2897" spans="3:4" x14ac:dyDescent="0.25">
      <c r="C2897" s="2"/>
      <c r="D2897" s="2"/>
    </row>
    <row r="2898" spans="3:4" x14ac:dyDescent="0.25">
      <c r="C2898" s="2"/>
      <c r="D2898" s="2"/>
    </row>
    <row r="2899" spans="3:4" x14ac:dyDescent="0.25">
      <c r="C2899" s="2"/>
      <c r="D2899" s="2"/>
    </row>
    <row r="2900" spans="3:4" x14ac:dyDescent="0.25">
      <c r="C2900" s="2"/>
      <c r="D2900" s="2"/>
    </row>
    <row r="2901" spans="3:4" x14ac:dyDescent="0.25">
      <c r="C2901" s="2"/>
      <c r="D2901" s="2"/>
    </row>
    <row r="2902" spans="3:4" x14ac:dyDescent="0.25">
      <c r="C2902" s="2"/>
      <c r="D2902" s="2"/>
    </row>
    <row r="2903" spans="3:4" x14ac:dyDescent="0.25">
      <c r="C2903" s="2"/>
      <c r="D2903" s="2"/>
    </row>
    <row r="2904" spans="3:4" x14ac:dyDescent="0.25">
      <c r="C2904" s="2"/>
      <c r="D2904" s="2"/>
    </row>
    <row r="2905" spans="3:4" x14ac:dyDescent="0.25">
      <c r="C2905" s="2"/>
      <c r="D2905" s="2"/>
    </row>
    <row r="2906" spans="3:4" x14ac:dyDescent="0.25">
      <c r="C2906" s="2"/>
      <c r="D2906" s="2"/>
    </row>
    <row r="2907" spans="3:4" x14ac:dyDescent="0.25">
      <c r="C2907" s="2"/>
      <c r="D2907" s="2"/>
    </row>
    <row r="2908" spans="3:4" x14ac:dyDescent="0.25">
      <c r="C2908" s="2"/>
      <c r="D2908" s="2"/>
    </row>
    <row r="2909" spans="3:4" x14ac:dyDescent="0.25">
      <c r="C2909" s="2"/>
      <c r="D2909" s="2"/>
    </row>
    <row r="2910" spans="3:4" x14ac:dyDescent="0.25">
      <c r="C2910" s="2"/>
      <c r="D2910" s="2"/>
    </row>
    <row r="2911" spans="3:4" x14ac:dyDescent="0.25">
      <c r="C2911" s="2"/>
      <c r="D2911" s="2"/>
    </row>
    <row r="2912" spans="3:4" x14ac:dyDescent="0.25">
      <c r="C2912" s="2"/>
      <c r="D2912" s="2"/>
    </row>
    <row r="2913" spans="3:4" x14ac:dyDescent="0.25">
      <c r="C2913" s="2"/>
      <c r="D2913" s="2"/>
    </row>
    <row r="2914" spans="3:4" x14ac:dyDescent="0.25">
      <c r="C2914" s="2"/>
      <c r="D2914" s="2"/>
    </row>
    <row r="2915" spans="3:4" x14ac:dyDescent="0.25">
      <c r="C2915" s="2"/>
      <c r="D2915" s="2"/>
    </row>
    <row r="2916" spans="3:4" x14ac:dyDescent="0.25">
      <c r="C2916" s="2"/>
      <c r="D2916" s="2"/>
    </row>
    <row r="2917" spans="3:4" x14ac:dyDescent="0.25">
      <c r="C2917" s="2"/>
      <c r="D2917" s="2"/>
    </row>
    <row r="2918" spans="3:4" x14ac:dyDescent="0.25">
      <c r="C2918" s="2"/>
      <c r="D2918" s="2"/>
    </row>
    <row r="2919" spans="3:4" x14ac:dyDescent="0.25">
      <c r="C2919" s="2"/>
      <c r="D2919" s="2"/>
    </row>
    <row r="2920" spans="3:4" x14ac:dyDescent="0.25">
      <c r="C2920" s="2"/>
      <c r="D2920" s="2"/>
    </row>
    <row r="2921" spans="3:4" x14ac:dyDescent="0.25">
      <c r="C2921" s="2"/>
      <c r="D2921" s="2"/>
    </row>
    <row r="2922" spans="3:4" x14ac:dyDescent="0.25">
      <c r="C2922" s="2"/>
      <c r="D2922" s="2"/>
    </row>
    <row r="2923" spans="3:4" x14ac:dyDescent="0.25">
      <c r="C2923" s="2"/>
      <c r="D2923" s="2"/>
    </row>
    <row r="2924" spans="3:4" x14ac:dyDescent="0.25">
      <c r="C2924" s="2"/>
      <c r="D2924" s="2"/>
    </row>
    <row r="2925" spans="3:4" x14ac:dyDescent="0.25">
      <c r="C2925" s="2"/>
      <c r="D2925" s="2"/>
    </row>
    <row r="2926" spans="3:4" x14ac:dyDescent="0.25">
      <c r="C2926" s="2"/>
      <c r="D2926" s="2"/>
    </row>
    <row r="2927" spans="3:4" x14ac:dyDescent="0.25">
      <c r="C2927" s="2"/>
      <c r="D2927" s="2"/>
    </row>
    <row r="2928" spans="3:4" x14ac:dyDescent="0.25">
      <c r="C2928" s="2"/>
      <c r="D2928" s="2"/>
    </row>
    <row r="2929" spans="3:4" x14ac:dyDescent="0.25">
      <c r="C2929" s="2"/>
      <c r="D2929" s="2"/>
    </row>
    <row r="2930" spans="3:4" x14ac:dyDescent="0.25">
      <c r="C2930" s="2"/>
      <c r="D2930" s="2"/>
    </row>
    <row r="2931" spans="3:4" x14ac:dyDescent="0.25">
      <c r="C2931" s="2"/>
      <c r="D2931" s="2"/>
    </row>
    <row r="2932" spans="3:4" x14ac:dyDescent="0.25">
      <c r="C2932" s="2"/>
      <c r="D2932" s="2"/>
    </row>
    <row r="2933" spans="3:4" x14ac:dyDescent="0.25">
      <c r="C2933" s="2"/>
      <c r="D2933" s="2"/>
    </row>
    <row r="2934" spans="3:4" x14ac:dyDescent="0.25">
      <c r="C2934" s="2"/>
      <c r="D2934" s="2"/>
    </row>
    <row r="2935" spans="3:4" x14ac:dyDescent="0.25">
      <c r="C2935" s="2"/>
      <c r="D2935" s="2"/>
    </row>
    <row r="2936" spans="3:4" x14ac:dyDescent="0.25">
      <c r="C2936" s="2"/>
      <c r="D2936" s="2"/>
    </row>
    <row r="2937" spans="3:4" x14ac:dyDescent="0.25">
      <c r="C2937" s="2"/>
      <c r="D2937" s="2"/>
    </row>
    <row r="2938" spans="3:4" x14ac:dyDescent="0.25">
      <c r="C2938" s="2"/>
      <c r="D2938" s="2"/>
    </row>
    <row r="2939" spans="3:4" x14ac:dyDescent="0.25">
      <c r="C2939" s="2"/>
      <c r="D2939" s="2"/>
    </row>
    <row r="2940" spans="3:4" x14ac:dyDescent="0.25">
      <c r="C2940" s="2"/>
      <c r="D2940" s="2"/>
    </row>
    <row r="2941" spans="3:4" x14ac:dyDescent="0.25">
      <c r="C2941" s="2"/>
      <c r="D2941" s="2"/>
    </row>
    <row r="2942" spans="3:4" x14ac:dyDescent="0.25">
      <c r="C2942" s="2"/>
      <c r="D2942" s="2"/>
    </row>
    <row r="2943" spans="3:4" x14ac:dyDescent="0.25">
      <c r="C2943" s="2"/>
      <c r="D2943" s="2"/>
    </row>
    <row r="2944" spans="3:4" x14ac:dyDescent="0.25">
      <c r="C2944" s="2"/>
      <c r="D2944" s="2"/>
    </row>
    <row r="2945" spans="3:4" x14ac:dyDescent="0.25">
      <c r="C2945" s="2"/>
      <c r="D2945" s="2"/>
    </row>
    <row r="2946" spans="3:4" x14ac:dyDescent="0.25">
      <c r="C2946" s="2"/>
      <c r="D2946" s="2"/>
    </row>
    <row r="2947" spans="3:4" x14ac:dyDescent="0.25">
      <c r="C2947" s="2"/>
      <c r="D2947" s="2"/>
    </row>
    <row r="2948" spans="3:4" x14ac:dyDescent="0.25">
      <c r="C2948" s="2"/>
      <c r="D2948" s="2"/>
    </row>
    <row r="2949" spans="3:4" x14ac:dyDescent="0.25">
      <c r="C2949" s="2"/>
      <c r="D2949" s="2"/>
    </row>
    <row r="2950" spans="3:4" x14ac:dyDescent="0.25">
      <c r="C2950" s="2"/>
      <c r="D2950" s="2"/>
    </row>
    <row r="2951" spans="3:4" x14ac:dyDescent="0.25">
      <c r="C2951" s="2"/>
      <c r="D2951" s="2"/>
    </row>
    <row r="2952" spans="3:4" x14ac:dyDescent="0.25">
      <c r="C2952" s="2"/>
      <c r="D2952" s="2"/>
    </row>
    <row r="2953" spans="3:4" x14ac:dyDescent="0.25">
      <c r="C2953" s="2"/>
      <c r="D2953" s="2"/>
    </row>
    <row r="2954" spans="3:4" x14ac:dyDescent="0.25">
      <c r="C2954" s="2"/>
      <c r="D2954" s="2"/>
    </row>
    <row r="2955" spans="3:4" x14ac:dyDescent="0.25">
      <c r="C2955" s="2"/>
      <c r="D2955" s="2"/>
    </row>
    <row r="2956" spans="3:4" x14ac:dyDescent="0.25">
      <c r="C2956" s="2"/>
      <c r="D2956" s="2"/>
    </row>
    <row r="2957" spans="3:4" x14ac:dyDescent="0.25">
      <c r="C2957" s="2"/>
      <c r="D2957" s="2"/>
    </row>
    <row r="2958" spans="3:4" x14ac:dyDescent="0.25">
      <c r="C2958" s="2"/>
      <c r="D2958" s="2"/>
    </row>
    <row r="2959" spans="3:4" x14ac:dyDescent="0.25">
      <c r="C2959" s="2"/>
      <c r="D2959" s="2"/>
    </row>
    <row r="2960" spans="3:4" x14ac:dyDescent="0.25">
      <c r="C2960" s="2"/>
      <c r="D2960" s="2"/>
    </row>
    <row r="2961" spans="3:4" x14ac:dyDescent="0.25">
      <c r="C2961" s="2"/>
      <c r="D2961" s="2"/>
    </row>
    <row r="2962" spans="3:4" x14ac:dyDescent="0.25">
      <c r="C2962" s="2"/>
      <c r="D2962" s="2"/>
    </row>
    <row r="2963" spans="3:4" x14ac:dyDescent="0.25">
      <c r="C2963" s="2"/>
      <c r="D2963" s="2"/>
    </row>
    <row r="2964" spans="3:4" x14ac:dyDescent="0.25">
      <c r="C2964" s="2"/>
      <c r="D2964" s="2"/>
    </row>
    <row r="2965" spans="3:4" x14ac:dyDescent="0.25">
      <c r="C2965" s="2"/>
      <c r="D2965" s="2"/>
    </row>
    <row r="2966" spans="3:4" x14ac:dyDescent="0.25">
      <c r="C2966" s="2"/>
      <c r="D2966" s="2"/>
    </row>
    <row r="2967" spans="3:4" x14ac:dyDescent="0.25">
      <c r="C2967" s="2"/>
      <c r="D2967" s="2"/>
    </row>
    <row r="2968" spans="3:4" x14ac:dyDescent="0.25">
      <c r="C2968" s="2"/>
      <c r="D2968" s="2"/>
    </row>
    <row r="2969" spans="3:4" x14ac:dyDescent="0.25">
      <c r="C2969" s="2"/>
      <c r="D2969" s="2"/>
    </row>
    <row r="2970" spans="3:4" x14ac:dyDescent="0.25">
      <c r="C2970" s="2"/>
      <c r="D2970" s="2"/>
    </row>
    <row r="2971" spans="3:4" x14ac:dyDescent="0.25">
      <c r="C2971" s="2"/>
      <c r="D2971" s="2"/>
    </row>
    <row r="2972" spans="3:4" x14ac:dyDescent="0.25">
      <c r="C2972" s="2"/>
      <c r="D2972" s="2"/>
    </row>
    <row r="2973" spans="3:4" x14ac:dyDescent="0.25">
      <c r="C2973" s="2"/>
      <c r="D2973" s="2"/>
    </row>
    <row r="2974" spans="3:4" x14ac:dyDescent="0.25">
      <c r="C2974" s="2"/>
      <c r="D2974" s="2"/>
    </row>
    <row r="2975" spans="3:4" x14ac:dyDescent="0.25">
      <c r="C2975" s="2"/>
      <c r="D2975" s="2"/>
    </row>
    <row r="2976" spans="3:4" x14ac:dyDescent="0.25">
      <c r="C2976" s="2"/>
      <c r="D2976" s="2"/>
    </row>
    <row r="2977" spans="3:4" x14ac:dyDescent="0.25">
      <c r="C2977" s="2"/>
      <c r="D2977" s="2"/>
    </row>
    <row r="2978" spans="3:4" x14ac:dyDescent="0.25">
      <c r="C2978" s="2"/>
      <c r="D2978" s="2"/>
    </row>
    <row r="2979" spans="3:4" x14ac:dyDescent="0.25">
      <c r="C2979" s="2"/>
      <c r="D2979" s="2"/>
    </row>
    <row r="2980" spans="3:4" x14ac:dyDescent="0.25">
      <c r="C2980" s="2"/>
      <c r="D2980" s="2"/>
    </row>
    <row r="2981" spans="3:4" x14ac:dyDescent="0.25">
      <c r="C2981" s="2"/>
      <c r="D2981" s="2"/>
    </row>
    <row r="2982" spans="3:4" x14ac:dyDescent="0.25">
      <c r="C2982" s="2"/>
      <c r="D2982" s="2"/>
    </row>
    <row r="2983" spans="3:4" x14ac:dyDescent="0.25">
      <c r="C2983" s="2"/>
      <c r="D2983" s="2"/>
    </row>
    <row r="2984" spans="3:4" x14ac:dyDescent="0.25">
      <c r="C2984" s="2"/>
      <c r="D2984" s="2"/>
    </row>
    <row r="2985" spans="3:4" x14ac:dyDescent="0.25">
      <c r="C2985" s="2"/>
      <c r="D2985" s="2"/>
    </row>
    <row r="2986" spans="3:4" x14ac:dyDescent="0.25">
      <c r="C2986" s="2"/>
      <c r="D2986" s="2"/>
    </row>
    <row r="2987" spans="3:4" x14ac:dyDescent="0.25">
      <c r="C2987" s="2"/>
      <c r="D2987" s="2"/>
    </row>
    <row r="2988" spans="3:4" x14ac:dyDescent="0.25">
      <c r="C2988" s="2"/>
      <c r="D2988" s="2"/>
    </row>
    <row r="2989" spans="3:4" x14ac:dyDescent="0.25">
      <c r="C2989" s="2"/>
      <c r="D2989" s="2"/>
    </row>
    <row r="2990" spans="3:4" x14ac:dyDescent="0.25">
      <c r="C2990" s="2"/>
      <c r="D2990" s="2"/>
    </row>
    <row r="2991" spans="3:4" x14ac:dyDescent="0.25">
      <c r="C2991" s="2"/>
      <c r="D2991" s="2"/>
    </row>
    <row r="2992" spans="3:4" x14ac:dyDescent="0.25">
      <c r="C2992" s="2"/>
      <c r="D2992" s="2"/>
    </row>
    <row r="2993" spans="3:4" x14ac:dyDescent="0.25">
      <c r="C2993" s="2"/>
      <c r="D2993" s="2"/>
    </row>
    <row r="2994" spans="3:4" x14ac:dyDescent="0.25">
      <c r="C2994" s="2"/>
      <c r="D2994" s="2"/>
    </row>
    <row r="2995" spans="3:4" x14ac:dyDescent="0.25">
      <c r="C2995" s="2"/>
      <c r="D2995" s="2"/>
    </row>
    <row r="2996" spans="3:4" x14ac:dyDescent="0.25">
      <c r="C2996" s="2"/>
      <c r="D2996" s="2"/>
    </row>
    <row r="2997" spans="3:4" x14ac:dyDescent="0.25">
      <c r="C2997" s="2"/>
      <c r="D2997" s="2"/>
    </row>
    <row r="2998" spans="3:4" x14ac:dyDescent="0.25">
      <c r="C2998" s="2"/>
      <c r="D2998" s="2"/>
    </row>
    <row r="2999" spans="3:4" x14ac:dyDescent="0.25">
      <c r="C2999" s="2"/>
      <c r="D2999" s="2"/>
    </row>
    <row r="3000" spans="3:4" x14ac:dyDescent="0.25">
      <c r="C3000" s="2"/>
      <c r="D3000" s="2"/>
    </row>
    <row r="3001" spans="3:4" x14ac:dyDescent="0.25">
      <c r="C3001" s="2"/>
      <c r="D3001" s="2"/>
    </row>
    <row r="3002" spans="3:4" x14ac:dyDescent="0.25">
      <c r="C3002" s="2"/>
      <c r="D3002" s="2"/>
    </row>
    <row r="3003" spans="3:4" x14ac:dyDescent="0.25">
      <c r="C3003" s="2"/>
      <c r="D3003" s="2"/>
    </row>
    <row r="3004" spans="3:4" x14ac:dyDescent="0.25">
      <c r="C3004" s="2"/>
      <c r="D3004" s="2"/>
    </row>
    <row r="3005" spans="3:4" x14ac:dyDescent="0.25">
      <c r="C3005" s="2"/>
      <c r="D3005" s="2"/>
    </row>
    <row r="3006" spans="3:4" x14ac:dyDescent="0.25">
      <c r="C3006" s="2"/>
      <c r="D3006" s="2"/>
    </row>
    <row r="3007" spans="3:4" x14ac:dyDescent="0.25">
      <c r="C3007" s="2"/>
      <c r="D3007" s="2"/>
    </row>
    <row r="3008" spans="3:4" x14ac:dyDescent="0.25">
      <c r="C3008" s="2"/>
      <c r="D3008" s="2"/>
    </row>
    <row r="3009" spans="3:4" x14ac:dyDescent="0.25">
      <c r="C3009" s="2"/>
      <c r="D3009" s="2"/>
    </row>
    <row r="3010" spans="3:4" x14ac:dyDescent="0.25">
      <c r="C3010" s="2"/>
      <c r="D3010" s="2"/>
    </row>
    <row r="3011" spans="3:4" x14ac:dyDescent="0.25">
      <c r="C3011" s="2"/>
      <c r="D3011" s="2"/>
    </row>
    <row r="3012" spans="3:4" x14ac:dyDescent="0.25">
      <c r="C3012" s="2"/>
      <c r="D3012" s="2"/>
    </row>
    <row r="3013" spans="3:4" x14ac:dyDescent="0.25">
      <c r="C3013" s="2"/>
      <c r="D3013" s="2"/>
    </row>
    <row r="3014" spans="3:4" x14ac:dyDescent="0.25">
      <c r="C3014" s="2"/>
      <c r="D3014" s="2"/>
    </row>
    <row r="3015" spans="3:4" x14ac:dyDescent="0.25">
      <c r="C3015" s="2"/>
      <c r="D3015" s="2"/>
    </row>
    <row r="3016" spans="3:4" x14ac:dyDescent="0.25">
      <c r="C3016" s="2"/>
      <c r="D3016" s="2"/>
    </row>
    <row r="3017" spans="3:4" x14ac:dyDescent="0.25">
      <c r="C3017" s="2"/>
      <c r="D3017" s="2"/>
    </row>
    <row r="3018" spans="3:4" x14ac:dyDescent="0.25">
      <c r="C3018" s="2"/>
      <c r="D3018" s="2"/>
    </row>
    <row r="3019" spans="3:4" x14ac:dyDescent="0.25">
      <c r="C3019" s="2"/>
      <c r="D3019" s="2"/>
    </row>
    <row r="3020" spans="3:4" x14ac:dyDescent="0.25">
      <c r="C3020" s="2"/>
      <c r="D3020" s="2"/>
    </row>
    <row r="3021" spans="3:4" x14ac:dyDescent="0.25">
      <c r="C3021" s="2"/>
      <c r="D3021" s="2"/>
    </row>
    <row r="3022" spans="3:4" x14ac:dyDescent="0.25">
      <c r="C3022" s="2"/>
      <c r="D3022" s="2"/>
    </row>
    <row r="3023" spans="3:4" x14ac:dyDescent="0.25">
      <c r="C3023" s="2"/>
      <c r="D3023" s="2"/>
    </row>
    <row r="3024" spans="3:4" x14ac:dyDescent="0.25">
      <c r="C3024" s="2"/>
      <c r="D3024" s="2"/>
    </row>
    <row r="3025" spans="3:4" x14ac:dyDescent="0.25">
      <c r="C3025" s="2"/>
      <c r="D3025" s="2"/>
    </row>
    <row r="3026" spans="3:4" x14ac:dyDescent="0.25">
      <c r="C3026" s="2"/>
      <c r="D3026" s="2"/>
    </row>
    <row r="3027" spans="3:4" x14ac:dyDescent="0.25">
      <c r="C3027" s="2"/>
      <c r="D3027" s="2"/>
    </row>
    <row r="3028" spans="3:4" x14ac:dyDescent="0.25">
      <c r="C3028" s="2"/>
      <c r="D3028" s="2"/>
    </row>
    <row r="3029" spans="3:4" x14ac:dyDescent="0.25">
      <c r="C3029" s="2"/>
      <c r="D3029" s="2"/>
    </row>
    <row r="3030" spans="3:4" x14ac:dyDescent="0.25">
      <c r="C3030" s="2"/>
      <c r="D3030" s="2"/>
    </row>
    <row r="3031" spans="3:4" x14ac:dyDescent="0.25">
      <c r="C3031" s="2"/>
      <c r="D3031" s="2"/>
    </row>
    <row r="3032" spans="3:4" x14ac:dyDescent="0.25">
      <c r="C3032" s="2"/>
      <c r="D3032" s="2"/>
    </row>
    <row r="3033" spans="3:4" x14ac:dyDescent="0.25">
      <c r="C3033" s="2"/>
      <c r="D3033" s="2"/>
    </row>
    <row r="3034" spans="3:4" x14ac:dyDescent="0.25">
      <c r="C3034" s="2"/>
      <c r="D3034" s="2"/>
    </row>
    <row r="3035" spans="3:4" x14ac:dyDescent="0.25">
      <c r="C3035" s="2"/>
      <c r="D3035" s="2"/>
    </row>
    <row r="3036" spans="3:4" x14ac:dyDescent="0.25">
      <c r="C3036" s="2"/>
      <c r="D3036" s="2"/>
    </row>
    <row r="3037" spans="3:4" x14ac:dyDescent="0.25">
      <c r="C3037" s="2"/>
      <c r="D3037" s="2"/>
    </row>
    <row r="3038" spans="3:4" x14ac:dyDescent="0.25">
      <c r="C3038" s="2"/>
      <c r="D3038" s="2"/>
    </row>
    <row r="3039" spans="3:4" x14ac:dyDescent="0.25">
      <c r="C3039" s="2"/>
      <c r="D3039" s="2"/>
    </row>
    <row r="3040" spans="3:4" x14ac:dyDescent="0.25">
      <c r="C3040" s="2"/>
      <c r="D3040" s="2"/>
    </row>
    <row r="3041" spans="3:4" x14ac:dyDescent="0.25">
      <c r="C3041" s="2"/>
      <c r="D3041" s="2"/>
    </row>
    <row r="3042" spans="3:4" x14ac:dyDescent="0.25">
      <c r="C3042" s="2"/>
      <c r="D3042" s="2"/>
    </row>
    <row r="3043" spans="3:4" x14ac:dyDescent="0.25">
      <c r="C3043" s="2"/>
      <c r="D3043" s="2"/>
    </row>
    <row r="3044" spans="3:4" x14ac:dyDescent="0.25">
      <c r="C3044" s="2"/>
      <c r="D3044" s="2"/>
    </row>
    <row r="3045" spans="3:4" x14ac:dyDescent="0.25">
      <c r="C3045" s="2"/>
      <c r="D3045" s="2"/>
    </row>
    <row r="3046" spans="3:4" x14ac:dyDescent="0.25">
      <c r="C3046" s="2"/>
      <c r="D3046" s="2"/>
    </row>
    <row r="3047" spans="3:4" x14ac:dyDescent="0.25">
      <c r="C3047" s="2"/>
      <c r="D3047" s="2"/>
    </row>
    <row r="3048" spans="3:4" x14ac:dyDescent="0.25">
      <c r="C3048" s="2"/>
      <c r="D3048" s="2"/>
    </row>
    <row r="3049" spans="3:4" x14ac:dyDescent="0.25">
      <c r="C3049" s="2"/>
      <c r="D3049" s="2"/>
    </row>
    <row r="3050" spans="3:4" x14ac:dyDescent="0.25">
      <c r="C3050" s="2"/>
      <c r="D3050" s="2"/>
    </row>
    <row r="3051" spans="3:4" x14ac:dyDescent="0.25">
      <c r="C3051" s="2"/>
      <c r="D3051" s="2"/>
    </row>
    <row r="3052" spans="3:4" x14ac:dyDescent="0.25">
      <c r="C3052" s="2"/>
      <c r="D3052" s="2"/>
    </row>
    <row r="3053" spans="3:4" x14ac:dyDescent="0.25">
      <c r="C3053" s="2"/>
      <c r="D3053" s="2"/>
    </row>
    <row r="3054" spans="3:4" x14ac:dyDescent="0.25">
      <c r="C3054" s="2"/>
      <c r="D3054" s="2"/>
    </row>
    <row r="3055" spans="3:4" x14ac:dyDescent="0.25">
      <c r="C3055" s="2"/>
      <c r="D3055" s="2"/>
    </row>
    <row r="3056" spans="3:4" x14ac:dyDescent="0.25">
      <c r="C3056" s="2"/>
      <c r="D3056" s="2"/>
    </row>
    <row r="3057" spans="3:4" x14ac:dyDescent="0.25">
      <c r="C3057" s="2"/>
      <c r="D3057" s="2"/>
    </row>
    <row r="3058" spans="3:4" x14ac:dyDescent="0.25">
      <c r="C3058" s="2"/>
      <c r="D3058" s="2"/>
    </row>
    <row r="3059" spans="3:4" x14ac:dyDescent="0.25">
      <c r="C3059" s="2"/>
      <c r="D3059" s="2"/>
    </row>
    <row r="3060" spans="3:4" x14ac:dyDescent="0.25">
      <c r="C3060" s="2"/>
      <c r="D3060" s="2"/>
    </row>
    <row r="3061" spans="3:4" x14ac:dyDescent="0.25">
      <c r="C3061" s="2"/>
      <c r="D3061" s="2"/>
    </row>
    <row r="3062" spans="3:4" x14ac:dyDescent="0.25">
      <c r="C3062" s="2"/>
      <c r="D3062" s="2"/>
    </row>
    <row r="3063" spans="3:4" x14ac:dyDescent="0.25">
      <c r="C3063" s="2"/>
      <c r="D3063" s="2"/>
    </row>
    <row r="3064" spans="3:4" x14ac:dyDescent="0.25">
      <c r="C3064" s="2"/>
      <c r="D3064" s="2"/>
    </row>
    <row r="3065" spans="3:4" x14ac:dyDescent="0.25">
      <c r="C3065" s="2"/>
      <c r="D3065" s="2"/>
    </row>
    <row r="3066" spans="3:4" x14ac:dyDescent="0.25">
      <c r="C3066" s="2"/>
      <c r="D3066" s="2"/>
    </row>
    <row r="3067" spans="3:4" x14ac:dyDescent="0.25">
      <c r="C3067" s="2"/>
      <c r="D3067" s="2"/>
    </row>
    <row r="3068" spans="3:4" x14ac:dyDescent="0.25">
      <c r="C3068" s="2"/>
      <c r="D3068" s="2"/>
    </row>
    <row r="3069" spans="3:4" x14ac:dyDescent="0.25">
      <c r="C3069" s="2"/>
      <c r="D3069" s="2"/>
    </row>
    <row r="3070" spans="3:4" x14ac:dyDescent="0.25">
      <c r="C3070" s="2"/>
      <c r="D3070" s="2"/>
    </row>
    <row r="3071" spans="3:4" x14ac:dyDescent="0.25">
      <c r="C3071" s="2"/>
      <c r="D3071" s="2"/>
    </row>
    <row r="3072" spans="3:4" x14ac:dyDescent="0.25">
      <c r="C3072" s="2"/>
      <c r="D3072" s="2"/>
    </row>
    <row r="3073" spans="3:4" x14ac:dyDescent="0.25">
      <c r="C3073" s="2"/>
      <c r="D3073" s="2"/>
    </row>
    <row r="3074" spans="3:4" x14ac:dyDescent="0.25">
      <c r="C3074" s="2"/>
      <c r="D3074" s="2"/>
    </row>
    <row r="3075" spans="3:4" x14ac:dyDescent="0.25">
      <c r="C3075" s="2"/>
      <c r="D3075" s="2"/>
    </row>
    <row r="3076" spans="3:4" x14ac:dyDescent="0.25">
      <c r="C3076" s="2"/>
      <c r="D3076" s="2"/>
    </row>
    <row r="3077" spans="3:4" x14ac:dyDescent="0.25">
      <c r="C3077" s="2"/>
      <c r="D3077" s="2"/>
    </row>
    <row r="3078" spans="3:4" x14ac:dyDescent="0.25">
      <c r="C3078" s="2"/>
      <c r="D3078" s="2"/>
    </row>
    <row r="3079" spans="3:4" x14ac:dyDescent="0.25">
      <c r="C3079" s="2"/>
      <c r="D3079" s="2"/>
    </row>
    <row r="3080" spans="3:4" x14ac:dyDescent="0.25">
      <c r="C3080" s="2"/>
      <c r="D3080" s="2"/>
    </row>
    <row r="3081" spans="3:4" x14ac:dyDescent="0.25">
      <c r="C3081" s="2"/>
      <c r="D3081" s="2"/>
    </row>
    <row r="3082" spans="3:4" x14ac:dyDescent="0.25">
      <c r="C3082" s="2"/>
      <c r="D3082" s="2"/>
    </row>
    <row r="3083" spans="3:4" x14ac:dyDescent="0.25">
      <c r="C3083" s="2"/>
      <c r="D3083" s="2"/>
    </row>
    <row r="3084" spans="3:4" x14ac:dyDescent="0.25">
      <c r="C3084" s="2"/>
      <c r="D3084" s="2"/>
    </row>
    <row r="3085" spans="3:4" x14ac:dyDescent="0.25">
      <c r="C3085" s="2"/>
      <c r="D3085" s="2"/>
    </row>
    <row r="3086" spans="3:4" x14ac:dyDescent="0.25">
      <c r="C3086" s="2"/>
      <c r="D3086" s="2"/>
    </row>
    <row r="3087" spans="3:4" x14ac:dyDescent="0.25">
      <c r="C3087" s="2"/>
      <c r="D3087" s="2"/>
    </row>
    <row r="3088" spans="3:4" x14ac:dyDescent="0.25">
      <c r="C3088" s="2"/>
      <c r="D3088" s="2"/>
    </row>
    <row r="3089" spans="3:4" x14ac:dyDescent="0.25">
      <c r="C3089" s="2"/>
      <c r="D3089" s="2"/>
    </row>
    <row r="3090" spans="3:4" x14ac:dyDescent="0.25">
      <c r="C3090" s="2"/>
      <c r="D3090" s="2"/>
    </row>
    <row r="3091" spans="3:4" x14ac:dyDescent="0.25">
      <c r="C3091" s="2"/>
      <c r="D3091" s="2"/>
    </row>
    <row r="3092" spans="3:4" x14ac:dyDescent="0.25">
      <c r="C3092" s="2"/>
      <c r="D3092" s="2"/>
    </row>
    <row r="3093" spans="3:4" x14ac:dyDescent="0.25">
      <c r="C3093" s="2"/>
      <c r="D3093" s="2"/>
    </row>
    <row r="3094" spans="3:4" x14ac:dyDescent="0.25">
      <c r="C3094" s="2"/>
      <c r="D3094" s="2"/>
    </row>
    <row r="3095" spans="3:4" x14ac:dyDescent="0.25">
      <c r="C3095" s="2"/>
      <c r="D3095" s="2"/>
    </row>
    <row r="3096" spans="3:4" x14ac:dyDescent="0.25">
      <c r="C3096" s="2"/>
      <c r="D3096" s="2"/>
    </row>
    <row r="3097" spans="3:4" x14ac:dyDescent="0.25">
      <c r="C3097" s="2"/>
      <c r="D3097" s="2"/>
    </row>
    <row r="3098" spans="3:4" x14ac:dyDescent="0.25">
      <c r="C3098" s="2"/>
      <c r="D3098" s="2"/>
    </row>
    <row r="3099" spans="3:4" x14ac:dyDescent="0.25">
      <c r="C3099" s="2"/>
      <c r="D3099" s="2"/>
    </row>
    <row r="3100" spans="3:4" x14ac:dyDescent="0.25">
      <c r="C3100" s="2"/>
      <c r="D3100" s="2"/>
    </row>
    <row r="3101" spans="3:4" x14ac:dyDescent="0.25">
      <c r="C3101" s="2"/>
      <c r="D3101" s="2"/>
    </row>
    <row r="3102" spans="3:4" x14ac:dyDescent="0.25">
      <c r="C3102" s="2"/>
      <c r="D3102" s="2"/>
    </row>
    <row r="3103" spans="3:4" x14ac:dyDescent="0.25">
      <c r="C3103" s="2"/>
      <c r="D3103" s="2"/>
    </row>
    <row r="3104" spans="3:4" x14ac:dyDescent="0.25">
      <c r="C3104" s="2"/>
      <c r="D3104" s="2"/>
    </row>
    <row r="3105" spans="3:4" x14ac:dyDescent="0.25">
      <c r="C3105" s="2"/>
      <c r="D3105" s="2"/>
    </row>
    <row r="3106" spans="3:4" x14ac:dyDescent="0.25">
      <c r="C3106" s="2"/>
      <c r="D3106" s="2"/>
    </row>
    <row r="3107" spans="3:4" x14ac:dyDescent="0.25">
      <c r="C3107" s="2"/>
      <c r="D3107" s="2"/>
    </row>
    <row r="3108" spans="3:4" x14ac:dyDescent="0.25">
      <c r="C3108" s="2"/>
      <c r="D3108" s="2"/>
    </row>
    <row r="3109" spans="3:4" x14ac:dyDescent="0.25">
      <c r="C3109" s="2"/>
      <c r="D3109" s="2"/>
    </row>
    <row r="3110" spans="3:4" x14ac:dyDescent="0.25">
      <c r="C3110" s="2"/>
      <c r="D3110" s="2"/>
    </row>
    <row r="3111" spans="3:4" x14ac:dyDescent="0.25">
      <c r="C3111" s="2"/>
      <c r="D3111" s="2"/>
    </row>
    <row r="3112" spans="3:4" x14ac:dyDescent="0.25">
      <c r="C3112" s="2"/>
      <c r="D3112" s="2"/>
    </row>
    <row r="3113" spans="3:4" x14ac:dyDescent="0.25">
      <c r="C3113" s="2"/>
      <c r="D3113" s="2"/>
    </row>
    <row r="3114" spans="3:4" x14ac:dyDescent="0.25">
      <c r="C3114" s="2"/>
      <c r="D3114" s="2"/>
    </row>
    <row r="3115" spans="3:4" x14ac:dyDescent="0.25">
      <c r="C3115" s="2"/>
      <c r="D3115" s="2"/>
    </row>
    <row r="3116" spans="3:4" x14ac:dyDescent="0.25">
      <c r="C3116" s="2"/>
      <c r="D3116" s="2"/>
    </row>
    <row r="3117" spans="3:4" x14ac:dyDescent="0.25">
      <c r="C3117" s="2"/>
      <c r="D3117" s="2"/>
    </row>
    <row r="3118" spans="3:4" x14ac:dyDescent="0.25">
      <c r="C3118" s="2"/>
      <c r="D3118" s="2"/>
    </row>
    <row r="3119" spans="3:4" x14ac:dyDescent="0.25">
      <c r="C3119" s="2"/>
      <c r="D3119" s="2"/>
    </row>
    <row r="3120" spans="3:4" x14ac:dyDescent="0.25">
      <c r="C3120" s="2"/>
      <c r="D3120" s="2"/>
    </row>
    <row r="3121" spans="3:4" x14ac:dyDescent="0.25">
      <c r="C3121" s="2"/>
      <c r="D3121" s="2"/>
    </row>
    <row r="3122" spans="3:4" x14ac:dyDescent="0.25">
      <c r="C3122" s="2"/>
      <c r="D3122" s="2"/>
    </row>
    <row r="3123" spans="3:4" x14ac:dyDescent="0.25">
      <c r="C3123" s="2"/>
      <c r="D3123" s="2"/>
    </row>
    <row r="3124" spans="3:4" x14ac:dyDescent="0.25">
      <c r="C3124" s="2"/>
      <c r="D3124" s="2"/>
    </row>
    <row r="3125" spans="3:4" x14ac:dyDescent="0.25">
      <c r="C3125" s="2"/>
      <c r="D3125" s="2"/>
    </row>
    <row r="3126" spans="3:4" x14ac:dyDescent="0.25">
      <c r="C3126" s="2"/>
      <c r="D3126" s="2"/>
    </row>
    <row r="3127" spans="3:4" x14ac:dyDescent="0.25">
      <c r="C3127" s="2"/>
      <c r="D3127" s="2"/>
    </row>
    <row r="3128" spans="3:4" x14ac:dyDescent="0.25">
      <c r="C3128" s="2"/>
      <c r="D3128" s="2"/>
    </row>
    <row r="3129" spans="3:4" x14ac:dyDescent="0.25">
      <c r="C3129" s="2"/>
      <c r="D3129" s="2"/>
    </row>
    <row r="3130" spans="3:4" x14ac:dyDescent="0.25">
      <c r="C3130" s="2"/>
      <c r="D3130" s="2"/>
    </row>
    <row r="3131" spans="3:4" x14ac:dyDescent="0.25">
      <c r="C3131" s="2"/>
      <c r="D3131" s="2"/>
    </row>
    <row r="3132" spans="3:4" x14ac:dyDescent="0.25">
      <c r="C3132" s="2"/>
      <c r="D3132" s="2"/>
    </row>
    <row r="3133" spans="3:4" x14ac:dyDescent="0.25">
      <c r="C3133" s="2"/>
      <c r="D3133" s="2"/>
    </row>
    <row r="3134" spans="3:4" x14ac:dyDescent="0.25">
      <c r="C3134" s="2"/>
      <c r="D3134" s="2"/>
    </row>
    <row r="3135" spans="3:4" x14ac:dyDescent="0.25">
      <c r="C3135" s="2"/>
      <c r="D3135" s="2"/>
    </row>
    <row r="3136" spans="3:4" x14ac:dyDescent="0.25">
      <c r="C3136" s="2"/>
      <c r="D3136" s="2"/>
    </row>
    <row r="3137" spans="3:4" x14ac:dyDescent="0.25">
      <c r="C3137" s="2"/>
      <c r="D3137" s="2"/>
    </row>
    <row r="3138" spans="3:4" x14ac:dyDescent="0.25">
      <c r="C3138" s="2"/>
      <c r="D3138" s="2"/>
    </row>
    <row r="3139" spans="3:4" x14ac:dyDescent="0.25">
      <c r="C3139" s="2"/>
      <c r="D3139" s="2"/>
    </row>
    <row r="3140" spans="3:4" x14ac:dyDescent="0.25">
      <c r="C3140" s="2"/>
      <c r="D3140" s="2"/>
    </row>
    <row r="3141" spans="3:4" x14ac:dyDescent="0.25">
      <c r="C3141" s="2"/>
      <c r="D3141" s="2"/>
    </row>
    <row r="3142" spans="3:4" x14ac:dyDescent="0.25">
      <c r="C3142" s="2"/>
      <c r="D3142" s="2"/>
    </row>
    <row r="3143" spans="3:4" x14ac:dyDescent="0.25">
      <c r="C3143" s="2"/>
      <c r="D3143" s="2"/>
    </row>
    <row r="3144" spans="3:4" x14ac:dyDescent="0.25">
      <c r="C3144" s="2"/>
      <c r="D3144" s="2"/>
    </row>
    <row r="3145" spans="3:4" x14ac:dyDescent="0.25">
      <c r="C3145" s="2"/>
      <c r="D3145" s="2"/>
    </row>
    <row r="3146" spans="3:4" x14ac:dyDescent="0.25">
      <c r="C3146" s="2"/>
      <c r="D3146" s="2"/>
    </row>
    <row r="3147" spans="3:4" x14ac:dyDescent="0.25">
      <c r="C3147" s="2"/>
      <c r="D3147" s="2"/>
    </row>
    <row r="3148" spans="3:4" x14ac:dyDescent="0.25">
      <c r="C3148" s="2"/>
      <c r="D3148" s="2"/>
    </row>
    <row r="3149" spans="3:4" x14ac:dyDescent="0.25">
      <c r="C3149" s="2"/>
      <c r="D3149" s="2"/>
    </row>
    <row r="3150" spans="3:4" x14ac:dyDescent="0.25">
      <c r="C3150" s="2"/>
      <c r="D3150" s="2"/>
    </row>
    <row r="3151" spans="3:4" x14ac:dyDescent="0.25">
      <c r="C3151" s="2"/>
      <c r="D3151" s="2"/>
    </row>
    <row r="3152" spans="3:4" x14ac:dyDescent="0.25">
      <c r="C3152" s="2"/>
      <c r="D3152" s="2"/>
    </row>
    <row r="3153" spans="3:4" x14ac:dyDescent="0.25">
      <c r="C3153" s="2"/>
      <c r="D3153" s="2"/>
    </row>
    <row r="3154" spans="3:4" x14ac:dyDescent="0.25">
      <c r="C3154" s="2"/>
      <c r="D3154" s="2"/>
    </row>
    <row r="3155" spans="3:4" x14ac:dyDescent="0.25">
      <c r="C3155" s="2"/>
      <c r="D3155" s="2"/>
    </row>
    <row r="3156" spans="3:4" x14ac:dyDescent="0.25">
      <c r="C3156" s="2"/>
      <c r="D3156" s="2"/>
    </row>
    <row r="3157" spans="3:4" x14ac:dyDescent="0.25">
      <c r="C3157" s="2"/>
      <c r="D3157" s="2"/>
    </row>
    <row r="3158" spans="3:4" x14ac:dyDescent="0.25">
      <c r="C3158" s="2"/>
      <c r="D3158" s="2"/>
    </row>
    <row r="3159" spans="3:4" x14ac:dyDescent="0.25">
      <c r="C3159" s="2"/>
      <c r="D3159" s="2"/>
    </row>
    <row r="3160" spans="3:4" x14ac:dyDescent="0.25">
      <c r="C3160" s="2"/>
      <c r="D3160" s="2"/>
    </row>
    <row r="3161" spans="3:4" x14ac:dyDescent="0.25">
      <c r="C3161" s="2"/>
      <c r="D3161" s="2"/>
    </row>
    <row r="3162" spans="3:4" x14ac:dyDescent="0.25">
      <c r="C3162" s="2"/>
      <c r="D3162" s="2"/>
    </row>
    <row r="3163" spans="3:4" x14ac:dyDescent="0.25">
      <c r="C3163" s="2"/>
      <c r="D3163" s="2"/>
    </row>
    <row r="3164" spans="3:4" x14ac:dyDescent="0.25">
      <c r="C3164" s="2"/>
      <c r="D3164" s="2"/>
    </row>
    <row r="3165" spans="3:4" x14ac:dyDescent="0.25">
      <c r="C3165" s="2"/>
      <c r="D3165" s="2"/>
    </row>
    <row r="3166" spans="3:4" x14ac:dyDescent="0.25">
      <c r="C3166" s="2"/>
      <c r="D3166" s="2"/>
    </row>
    <row r="3167" spans="3:4" x14ac:dyDescent="0.25">
      <c r="C3167" s="2"/>
      <c r="D3167" s="2"/>
    </row>
    <row r="3168" spans="3:4" x14ac:dyDescent="0.25">
      <c r="C3168" s="2"/>
      <c r="D3168" s="2"/>
    </row>
    <row r="3169" spans="3:4" x14ac:dyDescent="0.25">
      <c r="C3169" s="2"/>
      <c r="D3169" s="2"/>
    </row>
    <row r="3170" spans="3:4" x14ac:dyDescent="0.25">
      <c r="C3170" s="2"/>
      <c r="D3170" s="2"/>
    </row>
    <row r="3171" spans="3:4" x14ac:dyDescent="0.25">
      <c r="C3171" s="2"/>
      <c r="D3171" s="2"/>
    </row>
    <row r="3172" spans="3:4" x14ac:dyDescent="0.25">
      <c r="C3172" s="2"/>
      <c r="D3172" s="2"/>
    </row>
    <row r="3173" spans="3:4" x14ac:dyDescent="0.25">
      <c r="C3173" s="2"/>
      <c r="D3173" s="2"/>
    </row>
    <row r="3174" spans="3:4" x14ac:dyDescent="0.25">
      <c r="C3174" s="2"/>
      <c r="D3174" s="2"/>
    </row>
    <row r="3175" spans="3:4" x14ac:dyDescent="0.25">
      <c r="C3175" s="2"/>
      <c r="D3175" s="2"/>
    </row>
    <row r="3176" spans="3:4" x14ac:dyDescent="0.25">
      <c r="C3176" s="2"/>
      <c r="D3176" s="2"/>
    </row>
    <row r="3177" spans="3:4" x14ac:dyDescent="0.25">
      <c r="C3177" s="2"/>
      <c r="D3177" s="2"/>
    </row>
    <row r="3178" spans="3:4" x14ac:dyDescent="0.25">
      <c r="C3178" s="2"/>
      <c r="D3178" s="2"/>
    </row>
    <row r="3179" spans="3:4" x14ac:dyDescent="0.25">
      <c r="C3179" s="2"/>
      <c r="D3179" s="2"/>
    </row>
    <row r="3180" spans="3:4" x14ac:dyDescent="0.25">
      <c r="C3180" s="2"/>
      <c r="D3180" s="2"/>
    </row>
    <row r="3181" spans="3:4" x14ac:dyDescent="0.25">
      <c r="C3181" s="2"/>
      <c r="D3181" s="2"/>
    </row>
    <row r="3182" spans="3:4" x14ac:dyDescent="0.25">
      <c r="C3182" s="2"/>
      <c r="D3182" s="2"/>
    </row>
    <row r="3183" spans="3:4" x14ac:dyDescent="0.25">
      <c r="C3183" s="2"/>
      <c r="D3183" s="2"/>
    </row>
    <row r="3184" spans="3:4" x14ac:dyDescent="0.25">
      <c r="C3184" s="2"/>
      <c r="D3184" s="2"/>
    </row>
    <row r="3185" spans="3:4" x14ac:dyDescent="0.25">
      <c r="C3185" s="2"/>
      <c r="D3185" s="2"/>
    </row>
    <row r="3186" spans="3:4" x14ac:dyDescent="0.25">
      <c r="C3186" s="2"/>
      <c r="D3186" s="2"/>
    </row>
    <row r="3187" spans="3:4" x14ac:dyDescent="0.25">
      <c r="C3187" s="2"/>
      <c r="D3187" s="2"/>
    </row>
    <row r="3188" spans="3:4" x14ac:dyDescent="0.25">
      <c r="C3188" s="2"/>
      <c r="D3188" s="2"/>
    </row>
    <row r="3189" spans="3:4" x14ac:dyDescent="0.25">
      <c r="C3189" s="2"/>
      <c r="D3189" s="2"/>
    </row>
    <row r="3190" spans="3:4" x14ac:dyDescent="0.25">
      <c r="C3190" s="2"/>
      <c r="D3190" s="2"/>
    </row>
    <row r="3191" spans="3:4" x14ac:dyDescent="0.25">
      <c r="C3191" s="2"/>
      <c r="D3191" s="2"/>
    </row>
    <row r="3192" spans="3:4" x14ac:dyDescent="0.25">
      <c r="C3192" s="2"/>
      <c r="D3192" s="2"/>
    </row>
    <row r="3193" spans="3:4" x14ac:dyDescent="0.25">
      <c r="C3193" s="2"/>
      <c r="D3193" s="2"/>
    </row>
    <row r="3194" spans="3:4" x14ac:dyDescent="0.25">
      <c r="C3194" s="2"/>
      <c r="D3194" s="2"/>
    </row>
    <row r="3195" spans="3:4" x14ac:dyDescent="0.25">
      <c r="C3195" s="2"/>
      <c r="D3195" s="2"/>
    </row>
    <row r="3196" spans="3:4" x14ac:dyDescent="0.25">
      <c r="C3196" s="2"/>
      <c r="D3196" s="2"/>
    </row>
    <row r="3197" spans="3:4" x14ac:dyDescent="0.25">
      <c r="C3197" s="2"/>
      <c r="D3197" s="2"/>
    </row>
    <row r="3198" spans="3:4" x14ac:dyDescent="0.25">
      <c r="C3198" s="2"/>
      <c r="D3198" s="2"/>
    </row>
    <row r="3199" spans="3:4" x14ac:dyDescent="0.25">
      <c r="C3199" s="2"/>
      <c r="D3199" s="2"/>
    </row>
    <row r="3200" spans="3:4" x14ac:dyDescent="0.25">
      <c r="C3200" s="2"/>
      <c r="D3200" s="2"/>
    </row>
    <row r="3201" spans="3:4" x14ac:dyDescent="0.25">
      <c r="C3201" s="2"/>
      <c r="D3201" s="2"/>
    </row>
    <row r="3202" spans="3:4" x14ac:dyDescent="0.25">
      <c r="C3202" s="2"/>
      <c r="D3202" s="2"/>
    </row>
    <row r="3203" spans="3:4" x14ac:dyDescent="0.25">
      <c r="C3203" s="2"/>
      <c r="D3203" s="2"/>
    </row>
    <row r="3204" spans="3:4" x14ac:dyDescent="0.25">
      <c r="C3204" s="2"/>
      <c r="D3204" s="2"/>
    </row>
    <row r="3205" spans="3:4" x14ac:dyDescent="0.25">
      <c r="C3205" s="2"/>
      <c r="D3205" s="2"/>
    </row>
    <row r="3206" spans="3:4" x14ac:dyDescent="0.25">
      <c r="C3206" s="2"/>
      <c r="D3206" s="2"/>
    </row>
    <row r="3207" spans="3:4" x14ac:dyDescent="0.25">
      <c r="C3207" s="2"/>
      <c r="D3207" s="2"/>
    </row>
    <row r="3208" spans="3:4" x14ac:dyDescent="0.25">
      <c r="C3208" s="2"/>
      <c r="D3208" s="2"/>
    </row>
    <row r="3209" spans="3:4" x14ac:dyDescent="0.25">
      <c r="C3209" s="2"/>
      <c r="D3209" s="2"/>
    </row>
    <row r="3210" spans="3:4" x14ac:dyDescent="0.25">
      <c r="C3210" s="2"/>
      <c r="D3210" s="2"/>
    </row>
    <row r="3211" spans="3:4" x14ac:dyDescent="0.25">
      <c r="C3211" s="2"/>
      <c r="D3211" s="2"/>
    </row>
    <row r="3212" spans="3:4" x14ac:dyDescent="0.25">
      <c r="C3212" s="2"/>
      <c r="D3212" s="2"/>
    </row>
    <row r="3213" spans="3:4" x14ac:dyDescent="0.25">
      <c r="C3213" s="2"/>
      <c r="D3213" s="2"/>
    </row>
    <row r="3214" spans="3:4" x14ac:dyDescent="0.25">
      <c r="C3214" s="2"/>
      <c r="D3214" s="2"/>
    </row>
    <row r="3215" spans="3:4" x14ac:dyDescent="0.25">
      <c r="C3215" s="2"/>
      <c r="D3215" s="2"/>
    </row>
    <row r="3216" spans="3:4" x14ac:dyDescent="0.25">
      <c r="C3216" s="2"/>
      <c r="D3216" s="2"/>
    </row>
    <row r="3217" spans="3:4" x14ac:dyDescent="0.25">
      <c r="C3217" s="2"/>
      <c r="D3217" s="2"/>
    </row>
    <row r="3218" spans="3:4" x14ac:dyDescent="0.25">
      <c r="C3218" s="2"/>
      <c r="D3218" s="2"/>
    </row>
    <row r="3219" spans="3:4" x14ac:dyDescent="0.25">
      <c r="C3219" s="2"/>
      <c r="D3219" s="2"/>
    </row>
    <row r="3220" spans="3:4" x14ac:dyDescent="0.25">
      <c r="C3220" s="2"/>
      <c r="D3220" s="2"/>
    </row>
    <row r="3221" spans="3:4" x14ac:dyDescent="0.25">
      <c r="C3221" s="2"/>
      <c r="D3221" s="2"/>
    </row>
    <row r="3222" spans="3:4" x14ac:dyDescent="0.25">
      <c r="C3222" s="2"/>
      <c r="D3222" s="2"/>
    </row>
    <row r="3223" spans="3:4" x14ac:dyDescent="0.25">
      <c r="C3223" s="2"/>
      <c r="D3223" s="2"/>
    </row>
    <row r="3224" spans="3:4" x14ac:dyDescent="0.25">
      <c r="C3224" s="2"/>
      <c r="D3224" s="2"/>
    </row>
    <row r="3225" spans="3:4" x14ac:dyDescent="0.25">
      <c r="C3225" s="2"/>
      <c r="D3225" s="2"/>
    </row>
    <row r="3226" spans="3:4" x14ac:dyDescent="0.25">
      <c r="C3226" s="2"/>
      <c r="D3226" s="2"/>
    </row>
    <row r="3227" spans="3:4" x14ac:dyDescent="0.25">
      <c r="C3227" s="2"/>
      <c r="D3227" s="2"/>
    </row>
    <row r="3228" spans="3:4" x14ac:dyDescent="0.25">
      <c r="C3228" s="2"/>
      <c r="D3228" s="2"/>
    </row>
    <row r="3229" spans="3:4" x14ac:dyDescent="0.25">
      <c r="C3229" s="2"/>
      <c r="D3229" s="2"/>
    </row>
    <row r="3230" spans="3:4" x14ac:dyDescent="0.25">
      <c r="C3230" s="2"/>
      <c r="D3230" s="2"/>
    </row>
    <row r="3231" spans="3:4" x14ac:dyDescent="0.25">
      <c r="C3231" s="2"/>
      <c r="D3231" s="2"/>
    </row>
    <row r="3232" spans="3:4" x14ac:dyDescent="0.25">
      <c r="C3232" s="2"/>
      <c r="D3232" s="2"/>
    </row>
    <row r="3233" spans="3:4" x14ac:dyDescent="0.25">
      <c r="C3233" s="2"/>
      <c r="D3233" s="2"/>
    </row>
    <row r="3234" spans="3:4" x14ac:dyDescent="0.25">
      <c r="C3234" s="2"/>
      <c r="D3234" s="2"/>
    </row>
    <row r="3235" spans="3:4" x14ac:dyDescent="0.25">
      <c r="C3235" s="2"/>
      <c r="D3235" s="2"/>
    </row>
    <row r="3236" spans="3:4" x14ac:dyDescent="0.25">
      <c r="C3236" s="2"/>
      <c r="D3236" s="2"/>
    </row>
    <row r="3237" spans="3:4" x14ac:dyDescent="0.25">
      <c r="C3237" s="2"/>
      <c r="D3237" s="2"/>
    </row>
    <row r="3238" spans="3:4" x14ac:dyDescent="0.25">
      <c r="C3238" s="2"/>
      <c r="D3238" s="2"/>
    </row>
    <row r="3239" spans="3:4" x14ac:dyDescent="0.25">
      <c r="C3239" s="2"/>
      <c r="D3239" s="2"/>
    </row>
    <row r="3240" spans="3:4" x14ac:dyDescent="0.25">
      <c r="C3240" s="2"/>
      <c r="D3240" s="2"/>
    </row>
    <row r="3241" spans="3:4" x14ac:dyDescent="0.25">
      <c r="C3241" s="2"/>
      <c r="D3241" s="2"/>
    </row>
    <row r="3242" spans="3:4" x14ac:dyDescent="0.25">
      <c r="C3242" s="2"/>
      <c r="D3242" s="2"/>
    </row>
    <row r="3243" spans="3:4" x14ac:dyDescent="0.25">
      <c r="C3243" s="2"/>
      <c r="D3243" s="2"/>
    </row>
    <row r="3244" spans="3:4" x14ac:dyDescent="0.25">
      <c r="C3244" s="2"/>
      <c r="D3244" s="2"/>
    </row>
    <row r="3245" spans="3:4" x14ac:dyDescent="0.25">
      <c r="C3245" s="2"/>
      <c r="D3245" s="2"/>
    </row>
    <row r="3246" spans="3:4" x14ac:dyDescent="0.25">
      <c r="C3246" s="2"/>
      <c r="D3246" s="2"/>
    </row>
    <row r="3247" spans="3:4" x14ac:dyDescent="0.25">
      <c r="C3247" s="2"/>
      <c r="D3247" s="2"/>
    </row>
    <row r="3248" spans="3:4" x14ac:dyDescent="0.25">
      <c r="C3248" s="2"/>
      <c r="D3248" s="2"/>
    </row>
    <row r="3249" spans="3:4" x14ac:dyDescent="0.25">
      <c r="C3249" s="2"/>
      <c r="D3249" s="2"/>
    </row>
    <row r="3250" spans="3:4" x14ac:dyDescent="0.25">
      <c r="C3250" s="2"/>
      <c r="D3250" s="2"/>
    </row>
    <row r="3251" spans="3:4" x14ac:dyDescent="0.25">
      <c r="C3251" s="2"/>
      <c r="D3251" s="2"/>
    </row>
    <row r="3252" spans="3:4" x14ac:dyDescent="0.25">
      <c r="C3252" s="2"/>
      <c r="D3252" s="2"/>
    </row>
    <row r="3253" spans="3:4" x14ac:dyDescent="0.25">
      <c r="C3253" s="2"/>
      <c r="D3253" s="2"/>
    </row>
    <row r="3254" spans="3:4" x14ac:dyDescent="0.25">
      <c r="C3254" s="2"/>
      <c r="D3254" s="2"/>
    </row>
    <row r="3255" spans="3:4" x14ac:dyDescent="0.25">
      <c r="C3255" s="2"/>
      <c r="D3255" s="2"/>
    </row>
    <row r="3256" spans="3:4" x14ac:dyDescent="0.25">
      <c r="C3256" s="2"/>
      <c r="D3256" s="2"/>
    </row>
    <row r="3257" spans="3:4" x14ac:dyDescent="0.25">
      <c r="C3257" s="2"/>
      <c r="D3257" s="2"/>
    </row>
    <row r="3258" spans="3:4" x14ac:dyDescent="0.25">
      <c r="C3258" s="2"/>
      <c r="D3258" s="2"/>
    </row>
    <row r="3259" spans="3:4" x14ac:dyDescent="0.25">
      <c r="C3259" s="2"/>
      <c r="D3259" s="2"/>
    </row>
    <row r="3260" spans="3:4" x14ac:dyDescent="0.25">
      <c r="C3260" s="2"/>
      <c r="D3260" s="2"/>
    </row>
    <row r="3261" spans="3:4" x14ac:dyDescent="0.25">
      <c r="C3261" s="2"/>
      <c r="D3261" s="2"/>
    </row>
    <row r="3262" spans="3:4" x14ac:dyDescent="0.25">
      <c r="C3262" s="2"/>
      <c r="D3262" s="2"/>
    </row>
    <row r="3263" spans="3:4" x14ac:dyDescent="0.25">
      <c r="C3263" s="2"/>
      <c r="D3263" s="2"/>
    </row>
    <row r="3264" spans="3:4" x14ac:dyDescent="0.25">
      <c r="C3264" s="2"/>
      <c r="D3264" s="2"/>
    </row>
    <row r="3265" spans="3:4" x14ac:dyDescent="0.25">
      <c r="C3265" s="2"/>
      <c r="D3265" s="2"/>
    </row>
    <row r="3266" spans="3:4" x14ac:dyDescent="0.25">
      <c r="C3266" s="2"/>
      <c r="D3266" s="2"/>
    </row>
    <row r="3267" spans="3:4" x14ac:dyDescent="0.25">
      <c r="C3267" s="2"/>
      <c r="D3267" s="2"/>
    </row>
    <row r="3268" spans="3:4" x14ac:dyDescent="0.25">
      <c r="C3268" s="2"/>
      <c r="D3268" s="2"/>
    </row>
    <row r="3269" spans="3:4" x14ac:dyDescent="0.25">
      <c r="C3269" s="2"/>
      <c r="D3269" s="2"/>
    </row>
    <row r="3270" spans="3:4" x14ac:dyDescent="0.25">
      <c r="C3270" s="2"/>
      <c r="D3270" s="2"/>
    </row>
    <row r="3271" spans="3:4" x14ac:dyDescent="0.25">
      <c r="C3271" s="2"/>
      <c r="D3271" s="2"/>
    </row>
    <row r="3272" spans="3:4" x14ac:dyDescent="0.25">
      <c r="C3272" s="2"/>
      <c r="D3272" s="2"/>
    </row>
    <row r="3273" spans="3:4" x14ac:dyDescent="0.25">
      <c r="C3273" s="2"/>
      <c r="D3273" s="2"/>
    </row>
    <row r="3274" spans="3:4" x14ac:dyDescent="0.25">
      <c r="C3274" s="2"/>
      <c r="D3274" s="2"/>
    </row>
    <row r="3275" spans="3:4" x14ac:dyDescent="0.25">
      <c r="C3275" s="2"/>
      <c r="D3275" s="2"/>
    </row>
    <row r="3276" spans="3:4" x14ac:dyDescent="0.25">
      <c r="C3276" s="2"/>
      <c r="D3276" s="2"/>
    </row>
    <row r="3277" spans="3:4" x14ac:dyDescent="0.25">
      <c r="C3277" s="2"/>
      <c r="D3277" s="2"/>
    </row>
    <row r="3278" spans="3:4" x14ac:dyDescent="0.25">
      <c r="C3278" s="2"/>
      <c r="D3278" s="2"/>
    </row>
    <row r="3279" spans="3:4" x14ac:dyDescent="0.25">
      <c r="C3279" s="2"/>
      <c r="D3279" s="2"/>
    </row>
    <row r="3280" spans="3:4" x14ac:dyDescent="0.25">
      <c r="C3280" s="2"/>
      <c r="D3280" s="2"/>
    </row>
    <row r="3281" spans="3:4" x14ac:dyDescent="0.25">
      <c r="C3281" s="2"/>
      <c r="D3281" s="2"/>
    </row>
    <row r="3282" spans="3:4" x14ac:dyDescent="0.25">
      <c r="C3282" s="2"/>
      <c r="D3282" s="2"/>
    </row>
    <row r="3283" spans="3:4" x14ac:dyDescent="0.25">
      <c r="C3283" s="2"/>
      <c r="D3283" s="2"/>
    </row>
    <row r="3284" spans="3:4" x14ac:dyDescent="0.25">
      <c r="C3284" s="2"/>
      <c r="D3284" s="2"/>
    </row>
    <row r="3285" spans="3:4" x14ac:dyDescent="0.25">
      <c r="C3285" s="2"/>
      <c r="D3285" s="2"/>
    </row>
    <row r="3286" spans="3:4" x14ac:dyDescent="0.25">
      <c r="C3286" s="2"/>
      <c r="D3286" s="2"/>
    </row>
    <row r="3287" spans="3:4" x14ac:dyDescent="0.25">
      <c r="C3287" s="2"/>
      <c r="D3287" s="2"/>
    </row>
    <row r="3288" spans="3:4" x14ac:dyDescent="0.25">
      <c r="C3288" s="2"/>
      <c r="D3288" s="2"/>
    </row>
    <row r="3289" spans="3:4" x14ac:dyDescent="0.25">
      <c r="C3289" s="2"/>
      <c r="D3289" s="2"/>
    </row>
    <row r="3290" spans="3:4" x14ac:dyDescent="0.25">
      <c r="C3290" s="2"/>
      <c r="D3290" s="2"/>
    </row>
    <row r="3291" spans="3:4" x14ac:dyDescent="0.25">
      <c r="C3291" s="2"/>
      <c r="D3291" s="2"/>
    </row>
    <row r="3292" spans="3:4" x14ac:dyDescent="0.25">
      <c r="C3292" s="2"/>
      <c r="D3292" s="2"/>
    </row>
    <row r="3293" spans="3:4" x14ac:dyDescent="0.25">
      <c r="C3293" s="2"/>
      <c r="D3293" s="2"/>
    </row>
    <row r="3294" spans="3:4" x14ac:dyDescent="0.25">
      <c r="C3294" s="2"/>
      <c r="D3294" s="2"/>
    </row>
    <row r="3295" spans="3:4" x14ac:dyDescent="0.25">
      <c r="C3295" s="2"/>
      <c r="D3295" s="2"/>
    </row>
    <row r="3296" spans="3:4" x14ac:dyDescent="0.25">
      <c r="C3296" s="2"/>
      <c r="D3296" s="2"/>
    </row>
    <row r="3297" spans="3:4" x14ac:dyDescent="0.25">
      <c r="C3297" s="2"/>
      <c r="D3297" s="2"/>
    </row>
    <row r="3298" spans="3:4" x14ac:dyDescent="0.25">
      <c r="C3298" s="2"/>
      <c r="D3298" s="2"/>
    </row>
    <row r="3299" spans="3:4" x14ac:dyDescent="0.25">
      <c r="C3299" s="2"/>
      <c r="D3299" s="2"/>
    </row>
    <row r="3300" spans="3:4" x14ac:dyDescent="0.25">
      <c r="C3300" s="2"/>
      <c r="D3300" s="2"/>
    </row>
    <row r="3301" spans="3:4" x14ac:dyDescent="0.25">
      <c r="C3301" s="2"/>
      <c r="D3301" s="2"/>
    </row>
    <row r="3302" spans="3:4" x14ac:dyDescent="0.25">
      <c r="C3302" s="2"/>
      <c r="D3302" s="2"/>
    </row>
    <row r="3303" spans="3:4" x14ac:dyDescent="0.25">
      <c r="C3303" s="2"/>
      <c r="D3303" s="2"/>
    </row>
    <row r="3304" spans="3:4" x14ac:dyDescent="0.25">
      <c r="C3304" s="2"/>
      <c r="D3304" s="2"/>
    </row>
    <row r="3305" spans="3:4" x14ac:dyDescent="0.25">
      <c r="C3305" s="2"/>
      <c r="D3305" s="2"/>
    </row>
    <row r="3306" spans="3:4" x14ac:dyDescent="0.25">
      <c r="C3306" s="2"/>
      <c r="D3306" s="2"/>
    </row>
    <row r="3307" spans="3:4" x14ac:dyDescent="0.25">
      <c r="C3307" s="2"/>
      <c r="D3307" s="2"/>
    </row>
    <row r="3308" spans="3:4" x14ac:dyDescent="0.25">
      <c r="C3308" s="2"/>
      <c r="D3308" s="2"/>
    </row>
    <row r="3309" spans="3:4" x14ac:dyDescent="0.25">
      <c r="C3309" s="2"/>
      <c r="D3309" s="2"/>
    </row>
    <row r="3310" spans="3:4" x14ac:dyDescent="0.25">
      <c r="C3310" s="2"/>
      <c r="D3310" s="2"/>
    </row>
    <row r="3311" spans="3:4" x14ac:dyDescent="0.25">
      <c r="C3311" s="2"/>
      <c r="D3311" s="2"/>
    </row>
    <row r="3312" spans="3:4" x14ac:dyDescent="0.25">
      <c r="C3312" s="2"/>
      <c r="D3312" s="2"/>
    </row>
    <row r="3313" spans="3:4" x14ac:dyDescent="0.25">
      <c r="C3313" s="2"/>
      <c r="D3313" s="2"/>
    </row>
    <row r="3314" spans="3:4" x14ac:dyDescent="0.25">
      <c r="C3314" s="2"/>
      <c r="D3314" s="2"/>
    </row>
    <row r="3315" spans="3:4" x14ac:dyDescent="0.25">
      <c r="C3315" s="2"/>
      <c r="D3315" s="2"/>
    </row>
    <row r="3316" spans="3:4" x14ac:dyDescent="0.25">
      <c r="C3316" s="2"/>
      <c r="D3316" s="2"/>
    </row>
    <row r="3317" spans="3:4" x14ac:dyDescent="0.25">
      <c r="C3317" s="2"/>
      <c r="D3317" s="2"/>
    </row>
    <row r="3318" spans="3:4" x14ac:dyDescent="0.25">
      <c r="C3318" s="2"/>
      <c r="D3318" s="2"/>
    </row>
    <row r="3319" spans="3:4" x14ac:dyDescent="0.25">
      <c r="C3319" s="2"/>
      <c r="D3319" s="2"/>
    </row>
    <row r="3320" spans="3:4" x14ac:dyDescent="0.25">
      <c r="C3320" s="2"/>
      <c r="D3320" s="2"/>
    </row>
    <row r="3321" spans="3:4" x14ac:dyDescent="0.25">
      <c r="C3321" s="2"/>
      <c r="D3321" s="2"/>
    </row>
    <row r="3322" spans="3:4" x14ac:dyDescent="0.25">
      <c r="C3322" s="2"/>
      <c r="D3322" s="2"/>
    </row>
    <row r="3323" spans="3:4" x14ac:dyDescent="0.25">
      <c r="C3323" s="2"/>
      <c r="D3323" s="2"/>
    </row>
    <row r="3324" spans="3:4" x14ac:dyDescent="0.25">
      <c r="C3324" s="2"/>
      <c r="D3324" s="2"/>
    </row>
    <row r="3325" spans="3:4" x14ac:dyDescent="0.25">
      <c r="C3325" s="2"/>
      <c r="D3325" s="2"/>
    </row>
    <row r="3326" spans="3:4" x14ac:dyDescent="0.25">
      <c r="C3326" s="2"/>
      <c r="D3326" s="2"/>
    </row>
    <row r="3327" spans="3:4" x14ac:dyDescent="0.25">
      <c r="C3327" s="2"/>
      <c r="D3327" s="2"/>
    </row>
    <row r="3328" spans="3:4" x14ac:dyDescent="0.25">
      <c r="C3328" s="2"/>
      <c r="D3328" s="2"/>
    </row>
    <row r="3329" spans="3:4" x14ac:dyDescent="0.25">
      <c r="C3329" s="2"/>
      <c r="D3329" s="2"/>
    </row>
    <row r="3330" spans="3:4" x14ac:dyDescent="0.25">
      <c r="C3330" s="2"/>
      <c r="D3330" s="2"/>
    </row>
    <row r="3331" spans="3:4" x14ac:dyDescent="0.25">
      <c r="C3331" s="2"/>
      <c r="D3331" s="2"/>
    </row>
    <row r="3332" spans="3:4" x14ac:dyDescent="0.25">
      <c r="C3332" s="2"/>
      <c r="D3332" s="2"/>
    </row>
    <row r="3333" spans="3:4" x14ac:dyDescent="0.25">
      <c r="C3333" s="2"/>
      <c r="D3333" s="2"/>
    </row>
    <row r="3334" spans="3:4" x14ac:dyDescent="0.25">
      <c r="C3334" s="2"/>
      <c r="D3334" s="2"/>
    </row>
    <row r="3335" spans="3:4" x14ac:dyDescent="0.25">
      <c r="C3335" s="2"/>
      <c r="D3335" s="2"/>
    </row>
    <row r="3336" spans="3:4" x14ac:dyDescent="0.25">
      <c r="C3336" s="2"/>
      <c r="D3336" s="2"/>
    </row>
    <row r="3337" spans="3:4" x14ac:dyDescent="0.25">
      <c r="C3337" s="2"/>
      <c r="D3337" s="2"/>
    </row>
    <row r="3338" spans="3:4" x14ac:dyDescent="0.25">
      <c r="C3338" s="2"/>
      <c r="D3338" s="2"/>
    </row>
    <row r="3339" spans="3:4" x14ac:dyDescent="0.25">
      <c r="C3339" s="2"/>
      <c r="D3339" s="2"/>
    </row>
    <row r="3340" spans="3:4" x14ac:dyDescent="0.25">
      <c r="C3340" s="2"/>
      <c r="D3340" s="2"/>
    </row>
    <row r="3341" spans="3:4" x14ac:dyDescent="0.25">
      <c r="C3341" s="2"/>
      <c r="D3341" s="2"/>
    </row>
    <row r="3342" spans="3:4" x14ac:dyDescent="0.25">
      <c r="C3342" s="2"/>
      <c r="D3342" s="2"/>
    </row>
    <row r="3343" spans="3:4" x14ac:dyDescent="0.25">
      <c r="C3343" s="2"/>
      <c r="D3343" s="2"/>
    </row>
    <row r="3344" spans="3:4" x14ac:dyDescent="0.25">
      <c r="C3344" s="2"/>
      <c r="D3344" s="2"/>
    </row>
    <row r="3345" spans="3:4" x14ac:dyDescent="0.25">
      <c r="C3345" s="2"/>
      <c r="D3345" s="2"/>
    </row>
    <row r="3346" spans="3:4" x14ac:dyDescent="0.25">
      <c r="C3346" s="2"/>
      <c r="D3346" s="2"/>
    </row>
    <row r="3347" spans="3:4" x14ac:dyDescent="0.25">
      <c r="C3347" s="2"/>
      <c r="D3347" s="2"/>
    </row>
    <row r="3348" spans="3:4" x14ac:dyDescent="0.25">
      <c r="C3348" s="2"/>
      <c r="D3348" s="2"/>
    </row>
    <row r="3349" spans="3:4" x14ac:dyDescent="0.25">
      <c r="C3349" s="2"/>
      <c r="D3349" s="2"/>
    </row>
    <row r="3350" spans="3:4" x14ac:dyDescent="0.25">
      <c r="C3350" s="2"/>
      <c r="D3350" s="2"/>
    </row>
    <row r="3351" spans="3:4" x14ac:dyDescent="0.25">
      <c r="C3351" s="2"/>
      <c r="D3351" s="2"/>
    </row>
    <row r="3352" spans="3:4" x14ac:dyDescent="0.25">
      <c r="C3352" s="2"/>
      <c r="D3352" s="2"/>
    </row>
    <row r="3353" spans="3:4" x14ac:dyDescent="0.25">
      <c r="C3353" s="2"/>
      <c r="D3353" s="2"/>
    </row>
    <row r="3354" spans="3:4" x14ac:dyDescent="0.25">
      <c r="C3354" s="2"/>
      <c r="D3354" s="2"/>
    </row>
    <row r="3355" spans="3:4" x14ac:dyDescent="0.25">
      <c r="C3355" s="2"/>
      <c r="D3355" s="2"/>
    </row>
    <row r="3356" spans="3:4" x14ac:dyDescent="0.25">
      <c r="C3356" s="2"/>
      <c r="D3356" s="2"/>
    </row>
    <row r="3357" spans="3:4" x14ac:dyDescent="0.25">
      <c r="C3357" s="2"/>
      <c r="D3357" s="2"/>
    </row>
    <row r="3358" spans="3:4" x14ac:dyDescent="0.25">
      <c r="C3358" s="2"/>
      <c r="D3358" s="2"/>
    </row>
    <row r="3359" spans="3:4" x14ac:dyDescent="0.25">
      <c r="C3359" s="2"/>
      <c r="D3359" s="2"/>
    </row>
    <row r="3360" spans="3:4" x14ac:dyDescent="0.25">
      <c r="C3360" s="2"/>
      <c r="D3360" s="2"/>
    </row>
    <row r="3361" spans="3:4" x14ac:dyDescent="0.25">
      <c r="C3361" s="2"/>
      <c r="D3361" s="2"/>
    </row>
    <row r="3362" spans="3:4" x14ac:dyDescent="0.25">
      <c r="C3362" s="2"/>
      <c r="D3362" s="2"/>
    </row>
    <row r="3363" spans="3:4" x14ac:dyDescent="0.25">
      <c r="C3363" s="2"/>
      <c r="D3363" s="2"/>
    </row>
    <row r="3364" spans="3:4" x14ac:dyDescent="0.25">
      <c r="C3364" s="2"/>
      <c r="D3364" s="2"/>
    </row>
    <row r="3365" spans="3:4" x14ac:dyDescent="0.25">
      <c r="C3365" s="2"/>
      <c r="D3365" s="2"/>
    </row>
    <row r="3366" spans="3:4" x14ac:dyDescent="0.25">
      <c r="C3366" s="2"/>
      <c r="D3366" s="2"/>
    </row>
    <row r="3367" spans="3:4" x14ac:dyDescent="0.25">
      <c r="C3367" s="2"/>
      <c r="D3367" s="2"/>
    </row>
    <row r="3368" spans="3:4" x14ac:dyDescent="0.25">
      <c r="C3368" s="2"/>
      <c r="D3368" s="2"/>
    </row>
    <row r="3369" spans="3:4" x14ac:dyDescent="0.25">
      <c r="C3369" s="2"/>
      <c r="D3369" s="2"/>
    </row>
    <row r="3370" spans="3:4" x14ac:dyDescent="0.25">
      <c r="C3370" s="2"/>
      <c r="D3370" s="2"/>
    </row>
    <row r="3371" spans="3:4" x14ac:dyDescent="0.25">
      <c r="C3371" s="2"/>
      <c r="D3371" s="2"/>
    </row>
    <row r="3372" spans="3:4" x14ac:dyDescent="0.25">
      <c r="C3372" s="2"/>
      <c r="D3372" s="2"/>
    </row>
    <row r="3373" spans="3:4" x14ac:dyDescent="0.25">
      <c r="C3373" s="2"/>
      <c r="D3373" s="2"/>
    </row>
    <row r="3374" spans="3:4" x14ac:dyDescent="0.25">
      <c r="C3374" s="2"/>
      <c r="D3374" s="2"/>
    </row>
    <row r="3375" spans="3:4" x14ac:dyDescent="0.25">
      <c r="C3375" s="2"/>
      <c r="D3375" s="2"/>
    </row>
    <row r="3376" spans="3:4" x14ac:dyDescent="0.25">
      <c r="C3376" s="2"/>
      <c r="D3376" s="2"/>
    </row>
    <row r="3377" spans="3:4" x14ac:dyDescent="0.25">
      <c r="C3377" s="2"/>
      <c r="D3377" s="2"/>
    </row>
    <row r="3378" spans="3:4" x14ac:dyDescent="0.25">
      <c r="C3378" s="2"/>
      <c r="D3378" s="2"/>
    </row>
    <row r="3379" spans="3:4" x14ac:dyDescent="0.25">
      <c r="C3379" s="2"/>
      <c r="D3379" s="2"/>
    </row>
    <row r="3380" spans="3:4" x14ac:dyDescent="0.25">
      <c r="C3380" s="2"/>
      <c r="D3380" s="2"/>
    </row>
    <row r="3381" spans="3:4" x14ac:dyDescent="0.25">
      <c r="C3381" s="2"/>
      <c r="D3381" s="2"/>
    </row>
    <row r="3382" spans="3:4" x14ac:dyDescent="0.25">
      <c r="C3382" s="2"/>
      <c r="D3382" s="2"/>
    </row>
    <row r="3383" spans="3:4" x14ac:dyDescent="0.25">
      <c r="C3383" s="2"/>
      <c r="D3383" s="2"/>
    </row>
    <row r="3384" spans="3:4" x14ac:dyDescent="0.25">
      <c r="C3384" s="2"/>
      <c r="D3384" s="2"/>
    </row>
    <row r="3385" spans="3:4" x14ac:dyDescent="0.25">
      <c r="C3385" s="2"/>
      <c r="D3385" s="2"/>
    </row>
    <row r="3386" spans="3:4" x14ac:dyDescent="0.25">
      <c r="C3386" s="2"/>
      <c r="D3386" s="2"/>
    </row>
    <row r="3387" spans="3:4" x14ac:dyDescent="0.25">
      <c r="C3387" s="2"/>
      <c r="D3387" s="2"/>
    </row>
    <row r="3388" spans="3:4" x14ac:dyDescent="0.25">
      <c r="C3388" s="2"/>
      <c r="D3388" s="2"/>
    </row>
    <row r="3389" spans="3:4" x14ac:dyDescent="0.25">
      <c r="C3389" s="2"/>
      <c r="D3389" s="2"/>
    </row>
    <row r="3390" spans="3:4" x14ac:dyDescent="0.25">
      <c r="C3390" s="2"/>
      <c r="D3390" s="2"/>
    </row>
    <row r="3391" spans="3:4" x14ac:dyDescent="0.25">
      <c r="C3391" s="2"/>
      <c r="D3391" s="2"/>
    </row>
    <row r="3392" spans="3:4" x14ac:dyDescent="0.25">
      <c r="C3392" s="2"/>
      <c r="D3392" s="2"/>
    </row>
    <row r="3393" spans="3:4" x14ac:dyDescent="0.25">
      <c r="C3393" s="2"/>
      <c r="D3393" s="2"/>
    </row>
    <row r="3394" spans="3:4" x14ac:dyDescent="0.25">
      <c r="C3394" s="2"/>
      <c r="D3394" s="2"/>
    </row>
    <row r="3395" spans="3:4" x14ac:dyDescent="0.25">
      <c r="C3395" s="2"/>
      <c r="D3395" s="2"/>
    </row>
    <row r="3396" spans="3:4" x14ac:dyDescent="0.25">
      <c r="C3396" s="2"/>
      <c r="D3396" s="2"/>
    </row>
    <row r="3397" spans="3:4" x14ac:dyDescent="0.25">
      <c r="C3397" s="2"/>
      <c r="D3397" s="2"/>
    </row>
    <row r="3398" spans="3:4" x14ac:dyDescent="0.25">
      <c r="C3398" s="2"/>
      <c r="D3398" s="2"/>
    </row>
    <row r="3399" spans="3:4" x14ac:dyDescent="0.25">
      <c r="C3399" s="2"/>
      <c r="D3399" s="2"/>
    </row>
    <row r="3400" spans="3:4" x14ac:dyDescent="0.25">
      <c r="C3400" s="2"/>
      <c r="D3400" s="2"/>
    </row>
    <row r="3401" spans="3:4" x14ac:dyDescent="0.25">
      <c r="C3401" s="2"/>
      <c r="D3401" s="2"/>
    </row>
    <row r="3402" spans="3:4" x14ac:dyDescent="0.25">
      <c r="C3402" s="2"/>
      <c r="D3402" s="2"/>
    </row>
    <row r="3403" spans="3:4" x14ac:dyDescent="0.25">
      <c r="C3403" s="2"/>
      <c r="D3403" s="2"/>
    </row>
    <row r="3404" spans="3:4" x14ac:dyDescent="0.25">
      <c r="C3404" s="2"/>
      <c r="D3404" s="2"/>
    </row>
    <row r="3405" spans="3:4" x14ac:dyDescent="0.25">
      <c r="C3405" s="2"/>
      <c r="D3405" s="2"/>
    </row>
    <row r="3406" spans="3:4" x14ac:dyDescent="0.25">
      <c r="C3406" s="2"/>
      <c r="D3406" s="2"/>
    </row>
    <row r="3407" spans="3:4" x14ac:dyDescent="0.25">
      <c r="C3407" s="2"/>
      <c r="D3407" s="2"/>
    </row>
    <row r="3408" spans="3:4" x14ac:dyDescent="0.25">
      <c r="C3408" s="2"/>
      <c r="D3408" s="2"/>
    </row>
    <row r="3409" spans="3:4" x14ac:dyDescent="0.25">
      <c r="C3409" s="2"/>
      <c r="D3409" s="2"/>
    </row>
    <row r="3410" spans="3:4" x14ac:dyDescent="0.25">
      <c r="C3410" s="2"/>
      <c r="D3410" s="2"/>
    </row>
    <row r="3411" spans="3:4" x14ac:dyDescent="0.25">
      <c r="C3411" s="2"/>
      <c r="D3411" s="2"/>
    </row>
    <row r="3412" spans="3:4" x14ac:dyDescent="0.25">
      <c r="C3412" s="2"/>
      <c r="D3412" s="2"/>
    </row>
    <row r="3413" spans="3:4" x14ac:dyDescent="0.25">
      <c r="C3413" s="2"/>
      <c r="D3413" s="2"/>
    </row>
    <row r="3414" spans="3:4" x14ac:dyDescent="0.25">
      <c r="C3414" s="2"/>
      <c r="D3414" s="2"/>
    </row>
    <row r="3415" spans="3:4" x14ac:dyDescent="0.25">
      <c r="C3415" s="2"/>
      <c r="D3415" s="2"/>
    </row>
    <row r="3416" spans="3:4" x14ac:dyDescent="0.25">
      <c r="C3416" s="2"/>
      <c r="D3416" s="2"/>
    </row>
    <row r="3417" spans="3:4" x14ac:dyDescent="0.25">
      <c r="C3417" s="2"/>
      <c r="D3417" s="2"/>
    </row>
    <row r="3418" spans="3:4" x14ac:dyDescent="0.25">
      <c r="C3418" s="2"/>
      <c r="D3418" s="2"/>
    </row>
    <row r="3419" spans="3:4" x14ac:dyDescent="0.25">
      <c r="C3419" s="2"/>
      <c r="D3419" s="2"/>
    </row>
    <row r="3420" spans="3:4" x14ac:dyDescent="0.25">
      <c r="C3420" s="2"/>
      <c r="D3420" s="2"/>
    </row>
    <row r="3421" spans="3:4" x14ac:dyDescent="0.25">
      <c r="C3421" s="2"/>
      <c r="D3421" s="2"/>
    </row>
    <row r="3422" spans="3:4" x14ac:dyDescent="0.25">
      <c r="C3422" s="2"/>
      <c r="D3422" s="2"/>
    </row>
    <row r="3423" spans="3:4" x14ac:dyDescent="0.25">
      <c r="C3423" s="2"/>
      <c r="D3423" s="2"/>
    </row>
    <row r="3424" spans="3:4" x14ac:dyDescent="0.25">
      <c r="C3424" s="2"/>
      <c r="D3424" s="2"/>
    </row>
    <row r="3425" spans="3:4" x14ac:dyDescent="0.25">
      <c r="C3425" s="2"/>
      <c r="D3425" s="2"/>
    </row>
    <row r="3426" spans="3:4" x14ac:dyDescent="0.25">
      <c r="C3426" s="2"/>
      <c r="D3426" s="2"/>
    </row>
    <row r="3427" spans="3:4" x14ac:dyDescent="0.25">
      <c r="C3427" s="2"/>
      <c r="D3427" s="2"/>
    </row>
    <row r="3428" spans="3:4" x14ac:dyDescent="0.25">
      <c r="C3428" s="2"/>
      <c r="D3428" s="2"/>
    </row>
    <row r="3429" spans="3:4" x14ac:dyDescent="0.25">
      <c r="C3429" s="2"/>
      <c r="D3429" s="2"/>
    </row>
    <row r="3430" spans="3:4" x14ac:dyDescent="0.25">
      <c r="C3430" s="2"/>
      <c r="D3430" s="2"/>
    </row>
    <row r="3431" spans="3:4" x14ac:dyDescent="0.25">
      <c r="C3431" s="2"/>
      <c r="D3431" s="2"/>
    </row>
    <row r="3432" spans="3:4" x14ac:dyDescent="0.25">
      <c r="C3432" s="2"/>
      <c r="D3432" s="2"/>
    </row>
    <row r="3433" spans="3:4" x14ac:dyDescent="0.25">
      <c r="C3433" s="2"/>
      <c r="D3433" s="2"/>
    </row>
    <row r="3434" spans="3:4" x14ac:dyDescent="0.25">
      <c r="C3434" s="2"/>
      <c r="D3434" s="2"/>
    </row>
    <row r="3435" spans="3:4" x14ac:dyDescent="0.25">
      <c r="C3435" s="2"/>
      <c r="D3435" s="2"/>
    </row>
    <row r="3436" spans="3:4" x14ac:dyDescent="0.25">
      <c r="C3436" s="2"/>
      <c r="D3436" s="2"/>
    </row>
    <row r="3437" spans="3:4" x14ac:dyDescent="0.25">
      <c r="C3437" s="2"/>
      <c r="D3437" s="2"/>
    </row>
    <row r="3438" spans="3:4" x14ac:dyDescent="0.25">
      <c r="C3438" s="2"/>
      <c r="D3438" s="2"/>
    </row>
    <row r="3439" spans="3:4" x14ac:dyDescent="0.25">
      <c r="C3439" s="2"/>
      <c r="D3439" s="2"/>
    </row>
    <row r="3440" spans="3:4" x14ac:dyDescent="0.25">
      <c r="C3440" s="2"/>
      <c r="D3440" s="2"/>
    </row>
    <row r="3441" spans="3:4" x14ac:dyDescent="0.25">
      <c r="C3441" s="2"/>
      <c r="D3441" s="2"/>
    </row>
    <row r="3442" spans="3:4" x14ac:dyDescent="0.25">
      <c r="C3442" s="2"/>
      <c r="D3442" s="2"/>
    </row>
    <row r="3443" spans="3:4" x14ac:dyDescent="0.25">
      <c r="C3443" s="2"/>
      <c r="D3443" s="2"/>
    </row>
    <row r="3444" spans="3:4" x14ac:dyDescent="0.25">
      <c r="C3444" s="2"/>
      <c r="D3444" s="2"/>
    </row>
    <row r="3445" spans="3:4" x14ac:dyDescent="0.25">
      <c r="C3445" s="2"/>
      <c r="D3445" s="2"/>
    </row>
    <row r="3446" spans="3:4" x14ac:dyDescent="0.25">
      <c r="C3446" s="2"/>
      <c r="D3446" s="2"/>
    </row>
    <row r="3447" spans="3:4" x14ac:dyDescent="0.25">
      <c r="C3447" s="2"/>
      <c r="D3447" s="2"/>
    </row>
    <row r="3448" spans="3:4" x14ac:dyDescent="0.25">
      <c r="C3448" s="2"/>
      <c r="D3448" s="2"/>
    </row>
    <row r="3449" spans="3:4" x14ac:dyDescent="0.25">
      <c r="C3449" s="2"/>
      <c r="D3449" s="2"/>
    </row>
    <row r="3450" spans="3:4" x14ac:dyDescent="0.25">
      <c r="C3450" s="2"/>
      <c r="D3450" s="2"/>
    </row>
    <row r="3451" spans="3:4" x14ac:dyDescent="0.25">
      <c r="C3451" s="2"/>
      <c r="D3451" s="2"/>
    </row>
    <row r="3452" spans="3:4" x14ac:dyDescent="0.25">
      <c r="C3452" s="2"/>
      <c r="D3452" s="2"/>
    </row>
    <row r="3453" spans="3:4" x14ac:dyDescent="0.25">
      <c r="C3453" s="2"/>
      <c r="D3453" s="2"/>
    </row>
    <row r="3454" spans="3:4" x14ac:dyDescent="0.25">
      <c r="C3454" s="2"/>
      <c r="D3454" s="2"/>
    </row>
    <row r="3455" spans="3:4" x14ac:dyDescent="0.25">
      <c r="C3455" s="2"/>
      <c r="D3455" s="2"/>
    </row>
    <row r="3456" spans="3:4" x14ac:dyDescent="0.25">
      <c r="C3456" s="2"/>
      <c r="D3456" s="2"/>
    </row>
    <row r="3457" spans="3:4" x14ac:dyDescent="0.25">
      <c r="C3457" s="2"/>
      <c r="D3457" s="2"/>
    </row>
    <row r="3458" spans="3:4" x14ac:dyDescent="0.25">
      <c r="C3458" s="2"/>
      <c r="D3458" s="2"/>
    </row>
    <row r="3459" spans="3:4" x14ac:dyDescent="0.25">
      <c r="C3459" s="2"/>
      <c r="D3459" s="2"/>
    </row>
    <row r="3460" spans="3:4" x14ac:dyDescent="0.25">
      <c r="C3460" s="2"/>
      <c r="D3460" s="2"/>
    </row>
    <row r="3461" spans="3:4" x14ac:dyDescent="0.25">
      <c r="C3461" s="2"/>
      <c r="D3461" s="2"/>
    </row>
    <row r="3462" spans="3:4" x14ac:dyDescent="0.25">
      <c r="C3462" s="2"/>
      <c r="D3462" s="2"/>
    </row>
    <row r="3463" spans="3:4" x14ac:dyDescent="0.25">
      <c r="C3463" s="2"/>
      <c r="D3463" s="2"/>
    </row>
    <row r="3464" spans="3:4" x14ac:dyDescent="0.25">
      <c r="C3464" s="2"/>
      <c r="D3464" s="2"/>
    </row>
    <row r="3465" spans="3:4" x14ac:dyDescent="0.25">
      <c r="C3465" s="2"/>
      <c r="D3465" s="2"/>
    </row>
    <row r="3466" spans="3:4" x14ac:dyDescent="0.25">
      <c r="C3466" s="2"/>
      <c r="D3466" s="2"/>
    </row>
    <row r="3467" spans="3:4" x14ac:dyDescent="0.25">
      <c r="C3467" s="2"/>
      <c r="D3467" s="2"/>
    </row>
    <row r="3468" spans="3:4" x14ac:dyDescent="0.25">
      <c r="C3468" s="2"/>
      <c r="D3468" s="2"/>
    </row>
    <row r="3469" spans="3:4" x14ac:dyDescent="0.25">
      <c r="C3469" s="2"/>
      <c r="D3469" s="2"/>
    </row>
    <row r="3470" spans="3:4" x14ac:dyDescent="0.25">
      <c r="C3470" s="2"/>
      <c r="D3470" s="2"/>
    </row>
    <row r="3471" spans="3:4" x14ac:dyDescent="0.25">
      <c r="C3471" s="2"/>
      <c r="D3471" s="2"/>
    </row>
    <row r="3472" spans="3:4" x14ac:dyDescent="0.25">
      <c r="C3472" s="2"/>
      <c r="D3472" s="2"/>
    </row>
    <row r="3473" spans="3:4" x14ac:dyDescent="0.25">
      <c r="C3473" s="2"/>
      <c r="D3473" s="2"/>
    </row>
    <row r="3474" spans="3:4" x14ac:dyDescent="0.25">
      <c r="C3474" s="2"/>
      <c r="D3474" s="2"/>
    </row>
    <row r="3475" spans="3:4" x14ac:dyDescent="0.25">
      <c r="C3475" s="2"/>
      <c r="D3475" s="2"/>
    </row>
    <row r="3476" spans="3:4" x14ac:dyDescent="0.25">
      <c r="C3476" s="2"/>
      <c r="D3476" s="2"/>
    </row>
    <row r="3477" spans="3:4" x14ac:dyDescent="0.25">
      <c r="C3477" s="2"/>
      <c r="D3477" s="2"/>
    </row>
    <row r="3478" spans="3:4" x14ac:dyDescent="0.25">
      <c r="C3478" s="2"/>
      <c r="D3478" s="2"/>
    </row>
    <row r="3479" spans="3:4" x14ac:dyDescent="0.25">
      <c r="C3479" s="2"/>
      <c r="D3479" s="2"/>
    </row>
    <row r="3480" spans="3:4" x14ac:dyDescent="0.25">
      <c r="C3480" s="2"/>
      <c r="D3480" s="2"/>
    </row>
    <row r="3481" spans="3:4" x14ac:dyDescent="0.25">
      <c r="C3481" s="2"/>
      <c r="D3481" s="2"/>
    </row>
    <row r="3482" spans="3:4" x14ac:dyDescent="0.25">
      <c r="C3482" s="2"/>
      <c r="D3482" s="2"/>
    </row>
    <row r="3483" spans="3:4" x14ac:dyDescent="0.25">
      <c r="C3483" s="2"/>
      <c r="D3483" s="2"/>
    </row>
    <row r="3484" spans="3:4" x14ac:dyDescent="0.25">
      <c r="C3484" s="2"/>
      <c r="D3484" s="2"/>
    </row>
    <row r="3485" spans="3:4" x14ac:dyDescent="0.25">
      <c r="C3485" s="2"/>
      <c r="D3485" s="2"/>
    </row>
    <row r="3486" spans="3:4" x14ac:dyDescent="0.25">
      <c r="C3486" s="2"/>
      <c r="D3486" s="2"/>
    </row>
    <row r="3487" spans="3:4" x14ac:dyDescent="0.25">
      <c r="C3487" s="2"/>
      <c r="D3487" s="2"/>
    </row>
    <row r="3488" spans="3:4" x14ac:dyDescent="0.25">
      <c r="C3488" s="2"/>
      <c r="D3488" s="2"/>
    </row>
    <row r="3489" spans="3:4" x14ac:dyDescent="0.25">
      <c r="C3489" s="2"/>
      <c r="D3489" s="2"/>
    </row>
    <row r="3490" spans="3:4" x14ac:dyDescent="0.25">
      <c r="C3490" s="2"/>
      <c r="D3490" s="2"/>
    </row>
    <row r="3491" spans="3:4" x14ac:dyDescent="0.25">
      <c r="C3491" s="2"/>
      <c r="D3491" s="2"/>
    </row>
    <row r="3492" spans="3:4" x14ac:dyDescent="0.25">
      <c r="C3492" s="2"/>
      <c r="D3492" s="2"/>
    </row>
    <row r="3493" spans="3:4" x14ac:dyDescent="0.25">
      <c r="C3493" s="2"/>
      <c r="D3493" s="2"/>
    </row>
    <row r="3494" spans="3:4" x14ac:dyDescent="0.25">
      <c r="C3494" s="2"/>
      <c r="D3494" s="2"/>
    </row>
    <row r="3495" spans="3:4" x14ac:dyDescent="0.25">
      <c r="C3495" s="2"/>
      <c r="D3495" s="2"/>
    </row>
    <row r="3496" spans="3:4" x14ac:dyDescent="0.25">
      <c r="C3496" s="2"/>
      <c r="D3496" s="2"/>
    </row>
    <row r="3497" spans="3:4" x14ac:dyDescent="0.25">
      <c r="C3497" s="2"/>
      <c r="D3497" s="2"/>
    </row>
    <row r="3498" spans="3:4" x14ac:dyDescent="0.25">
      <c r="C3498" s="2"/>
      <c r="D3498" s="2"/>
    </row>
    <row r="3499" spans="3:4" x14ac:dyDescent="0.25">
      <c r="C3499" s="2"/>
      <c r="D3499" s="2"/>
    </row>
    <row r="3500" spans="3:4" x14ac:dyDescent="0.25">
      <c r="C3500" s="2"/>
      <c r="D3500" s="2"/>
    </row>
    <row r="3501" spans="3:4" x14ac:dyDescent="0.25">
      <c r="C3501" s="2"/>
      <c r="D3501" s="2"/>
    </row>
    <row r="3502" spans="3:4" x14ac:dyDescent="0.25">
      <c r="C3502" s="2"/>
      <c r="D3502" s="2"/>
    </row>
    <row r="3503" spans="3:4" x14ac:dyDescent="0.25">
      <c r="C3503" s="2"/>
      <c r="D3503" s="2"/>
    </row>
    <row r="3504" spans="3:4" x14ac:dyDescent="0.25">
      <c r="C3504" s="2"/>
      <c r="D3504" s="2"/>
    </row>
    <row r="3505" spans="3:4" x14ac:dyDescent="0.25">
      <c r="C3505" s="2"/>
      <c r="D3505" s="2"/>
    </row>
    <row r="3506" spans="3:4" x14ac:dyDescent="0.25">
      <c r="C3506" s="2"/>
      <c r="D3506" s="2"/>
    </row>
    <row r="3507" spans="3:4" x14ac:dyDescent="0.25">
      <c r="C3507" s="2"/>
      <c r="D3507" s="2"/>
    </row>
    <row r="3508" spans="3:4" x14ac:dyDescent="0.25">
      <c r="C3508" s="2"/>
      <c r="D3508" s="2"/>
    </row>
    <row r="3509" spans="3:4" x14ac:dyDescent="0.25">
      <c r="C3509" s="2"/>
      <c r="D3509" s="2"/>
    </row>
    <row r="3510" spans="3:4" x14ac:dyDescent="0.25">
      <c r="C3510" s="2"/>
      <c r="D3510" s="2"/>
    </row>
    <row r="3511" spans="3:4" x14ac:dyDescent="0.25">
      <c r="C3511" s="2"/>
      <c r="D3511" s="2"/>
    </row>
    <row r="3512" spans="3:4" x14ac:dyDescent="0.25">
      <c r="C3512" s="2"/>
      <c r="D3512" s="2"/>
    </row>
    <row r="3513" spans="3:4" x14ac:dyDescent="0.25">
      <c r="C3513" s="2"/>
      <c r="D3513" s="2"/>
    </row>
    <row r="3514" spans="3:4" x14ac:dyDescent="0.25">
      <c r="C3514" s="2"/>
      <c r="D3514" s="2"/>
    </row>
    <row r="3515" spans="3:4" x14ac:dyDescent="0.25">
      <c r="C3515" s="2"/>
      <c r="D3515" s="2"/>
    </row>
    <row r="3516" spans="3:4" x14ac:dyDescent="0.25">
      <c r="C3516" s="2"/>
      <c r="D3516" s="2"/>
    </row>
    <row r="3517" spans="3:4" x14ac:dyDescent="0.25">
      <c r="C3517" s="2"/>
      <c r="D3517" s="2"/>
    </row>
    <row r="3518" spans="3:4" x14ac:dyDescent="0.25">
      <c r="C3518" s="2"/>
      <c r="D3518" s="2"/>
    </row>
    <row r="3519" spans="3:4" x14ac:dyDescent="0.25">
      <c r="C3519" s="2"/>
      <c r="D3519" s="2"/>
    </row>
    <row r="3520" spans="3:4" x14ac:dyDescent="0.25">
      <c r="C3520" s="2"/>
      <c r="D3520" s="2"/>
    </row>
    <row r="3521" spans="3:4" x14ac:dyDescent="0.25">
      <c r="C3521" s="2"/>
      <c r="D3521" s="2"/>
    </row>
    <row r="3522" spans="3:4" x14ac:dyDescent="0.25">
      <c r="C3522" s="2"/>
      <c r="D3522" s="2"/>
    </row>
    <row r="3523" spans="3:4" x14ac:dyDescent="0.25">
      <c r="C3523" s="2"/>
      <c r="D3523" s="2"/>
    </row>
    <row r="3524" spans="3:4" x14ac:dyDescent="0.25">
      <c r="C3524" s="2"/>
      <c r="D3524" s="2"/>
    </row>
    <row r="3525" spans="3:4" x14ac:dyDescent="0.25">
      <c r="C3525" s="2"/>
      <c r="D3525" s="2"/>
    </row>
    <row r="3526" spans="3:4" x14ac:dyDescent="0.25">
      <c r="C3526" s="2"/>
      <c r="D3526" s="2"/>
    </row>
    <row r="3527" spans="3:4" x14ac:dyDescent="0.25">
      <c r="C3527" s="2"/>
      <c r="D3527" s="2"/>
    </row>
    <row r="3528" spans="3:4" x14ac:dyDescent="0.25">
      <c r="C3528" s="2"/>
      <c r="D3528" s="2"/>
    </row>
    <row r="3529" spans="3:4" x14ac:dyDescent="0.25">
      <c r="C3529" s="2"/>
      <c r="D3529" s="2"/>
    </row>
    <row r="3530" spans="3:4" x14ac:dyDescent="0.25">
      <c r="C3530" s="2"/>
      <c r="D3530" s="2"/>
    </row>
    <row r="3531" spans="3:4" x14ac:dyDescent="0.25">
      <c r="C3531" s="2"/>
      <c r="D3531" s="2"/>
    </row>
    <row r="3532" spans="3:4" x14ac:dyDescent="0.25">
      <c r="C3532" s="2"/>
      <c r="D3532" s="2"/>
    </row>
    <row r="3533" spans="3:4" x14ac:dyDescent="0.25">
      <c r="C3533" s="2"/>
      <c r="D3533" s="2"/>
    </row>
    <row r="3534" spans="3:4" x14ac:dyDescent="0.25">
      <c r="C3534" s="2"/>
      <c r="D3534" s="2"/>
    </row>
    <row r="3535" spans="3:4" x14ac:dyDescent="0.25">
      <c r="C3535" s="2"/>
      <c r="D3535" s="2"/>
    </row>
    <row r="3536" spans="3:4" x14ac:dyDescent="0.25">
      <c r="C3536" s="2"/>
      <c r="D3536" s="2"/>
    </row>
    <row r="3537" spans="3:4" x14ac:dyDescent="0.25">
      <c r="C3537" s="2"/>
      <c r="D3537" s="2"/>
    </row>
    <row r="3538" spans="3:4" x14ac:dyDescent="0.25">
      <c r="C3538" s="2"/>
      <c r="D3538" s="2"/>
    </row>
    <row r="3539" spans="3:4" x14ac:dyDescent="0.25">
      <c r="C3539" s="2"/>
      <c r="D3539" s="2"/>
    </row>
    <row r="3540" spans="3:4" x14ac:dyDescent="0.25">
      <c r="C3540" s="2"/>
      <c r="D3540" s="2"/>
    </row>
    <row r="3541" spans="3:4" x14ac:dyDescent="0.25">
      <c r="C3541" s="2"/>
      <c r="D3541" s="2"/>
    </row>
    <row r="3542" spans="3:4" x14ac:dyDescent="0.25">
      <c r="C3542" s="2"/>
      <c r="D3542" s="2"/>
    </row>
    <row r="3543" spans="3:4" x14ac:dyDescent="0.25">
      <c r="C3543" s="2"/>
      <c r="D3543" s="2"/>
    </row>
    <row r="3544" spans="3:4" x14ac:dyDescent="0.25">
      <c r="C3544" s="2"/>
      <c r="D3544" s="2"/>
    </row>
    <row r="3545" spans="3:4" x14ac:dyDescent="0.25">
      <c r="C3545" s="2"/>
      <c r="D3545" s="2"/>
    </row>
    <row r="3546" spans="3:4" x14ac:dyDescent="0.25">
      <c r="C3546" s="2"/>
      <c r="D3546" s="2"/>
    </row>
    <row r="3547" spans="3:4" x14ac:dyDescent="0.25">
      <c r="C3547" s="2"/>
      <c r="D3547" s="2"/>
    </row>
    <row r="3548" spans="3:4" x14ac:dyDescent="0.25">
      <c r="C3548" s="2"/>
      <c r="D3548" s="2"/>
    </row>
    <row r="3549" spans="3:4" x14ac:dyDescent="0.25">
      <c r="C3549" s="2"/>
      <c r="D3549" s="2"/>
    </row>
    <row r="3550" spans="3:4" x14ac:dyDescent="0.25">
      <c r="C3550" s="2"/>
      <c r="D3550" s="2"/>
    </row>
    <row r="3551" spans="3:4" x14ac:dyDescent="0.25">
      <c r="C3551" s="2"/>
      <c r="D3551" s="2"/>
    </row>
    <row r="3552" spans="3:4" x14ac:dyDescent="0.25">
      <c r="C3552" s="2"/>
      <c r="D3552" s="2"/>
    </row>
    <row r="3553" spans="3:4" x14ac:dyDescent="0.25">
      <c r="C3553" s="2"/>
      <c r="D3553" s="2"/>
    </row>
    <row r="3554" spans="3:4" x14ac:dyDescent="0.25">
      <c r="C3554" s="2"/>
      <c r="D3554" s="2"/>
    </row>
    <row r="3555" spans="3:4" x14ac:dyDescent="0.25">
      <c r="C3555" s="2"/>
      <c r="D3555" s="2"/>
    </row>
    <row r="3556" spans="3:4" x14ac:dyDescent="0.25">
      <c r="C3556" s="2"/>
      <c r="D3556" s="2"/>
    </row>
    <row r="3557" spans="3:4" x14ac:dyDescent="0.25">
      <c r="C3557" s="2"/>
      <c r="D3557" s="2"/>
    </row>
    <row r="3558" spans="3:4" x14ac:dyDescent="0.25">
      <c r="C3558" s="2"/>
      <c r="D3558" s="2"/>
    </row>
    <row r="3559" spans="3:4" x14ac:dyDescent="0.25">
      <c r="C3559" s="2"/>
      <c r="D3559" s="2"/>
    </row>
    <row r="3560" spans="3:4" x14ac:dyDescent="0.25">
      <c r="C3560" s="2"/>
      <c r="D3560" s="2"/>
    </row>
    <row r="3561" spans="3:4" x14ac:dyDescent="0.25">
      <c r="C3561" s="2"/>
      <c r="D3561" s="2"/>
    </row>
    <row r="3562" spans="3:4" x14ac:dyDescent="0.25">
      <c r="C3562" s="2"/>
      <c r="D3562" s="2"/>
    </row>
    <row r="3563" spans="3:4" x14ac:dyDescent="0.25">
      <c r="C3563" s="2"/>
      <c r="D3563" s="2"/>
    </row>
    <row r="3564" spans="3:4" x14ac:dyDescent="0.25">
      <c r="C3564" s="2"/>
      <c r="D3564" s="2"/>
    </row>
    <row r="3565" spans="3:4" x14ac:dyDescent="0.25">
      <c r="C3565" s="2"/>
      <c r="D3565" s="2"/>
    </row>
    <row r="3566" spans="3:4" x14ac:dyDescent="0.25">
      <c r="C3566" s="2"/>
      <c r="D3566" s="2"/>
    </row>
    <row r="3567" spans="3:4" x14ac:dyDescent="0.25">
      <c r="C3567" s="2"/>
      <c r="D3567" s="2"/>
    </row>
    <row r="3568" spans="3:4" x14ac:dyDescent="0.25">
      <c r="C3568" s="2"/>
      <c r="D3568" s="2"/>
    </row>
    <row r="3569" spans="3:4" x14ac:dyDescent="0.25">
      <c r="C3569" s="2"/>
      <c r="D3569" s="2"/>
    </row>
    <row r="3570" spans="3:4" x14ac:dyDescent="0.25">
      <c r="C3570" s="2"/>
      <c r="D3570" s="2"/>
    </row>
    <row r="3571" spans="3:4" x14ac:dyDescent="0.25">
      <c r="C3571" s="2"/>
      <c r="D3571" s="2"/>
    </row>
    <row r="3572" spans="3:4" x14ac:dyDescent="0.25">
      <c r="C3572" s="2"/>
      <c r="D3572" s="2"/>
    </row>
    <row r="3573" spans="3:4" x14ac:dyDescent="0.25">
      <c r="C3573" s="2"/>
      <c r="D3573" s="2"/>
    </row>
    <row r="3574" spans="3:4" x14ac:dyDescent="0.25">
      <c r="C3574" s="2"/>
      <c r="D3574" s="2"/>
    </row>
    <row r="3575" spans="3:4" x14ac:dyDescent="0.25">
      <c r="C3575" s="2"/>
      <c r="D3575" s="2"/>
    </row>
    <row r="3576" spans="3:4" x14ac:dyDescent="0.25">
      <c r="C3576" s="2"/>
      <c r="D3576" s="2"/>
    </row>
    <row r="3577" spans="3:4" x14ac:dyDescent="0.25">
      <c r="C3577" s="2"/>
      <c r="D3577" s="2"/>
    </row>
    <row r="3578" spans="3:4" x14ac:dyDescent="0.25">
      <c r="C3578" s="2"/>
      <c r="D3578" s="2"/>
    </row>
  </sheetData>
  <sheetProtection formatCells="0" formatColumns="0" formatRows="0" insertColumns="0" insertRows="0" insertHyperlinks="0" deleteColumns="0" deleteRows="0" sort="0" autoFilter="0" pivotTables="0"/>
  <autoFilter ref="A2:D155" xr:uid="{BBF7E292-A0CA-4ED1-A84F-B4C63FA4DC13}"/>
  <dataConsolidate/>
  <conditionalFormatting sqref="E3">
    <cfRule type="cellIs" dxfId="16" priority="1" operator="greaterThan">
      <formula>1000</formula>
    </cfRule>
    <cfRule type="cellIs" dxfId="15" priority="3" operator="between">
      <formula>500</formula>
      <formula>1000</formula>
    </cfRule>
    <cfRule type="cellIs" dxfId="14" priority="4" operator="between">
      <formula>100</formula>
      <formula>500</formula>
    </cfRule>
    <cfRule type="cellIs" dxfId="13" priority="15" operator="lessThan">
      <formula>$E$3</formula>
    </cfRule>
    <cfRule type="expression" dxfId="12" priority="16">
      <formula>$E$3</formula>
    </cfRule>
  </conditionalFormatting>
  <conditionalFormatting sqref="D3:D1048576">
    <cfRule type="cellIs" dxfId="11" priority="11" operator="equal">
      <formula>"PAGO"</formula>
    </cfRule>
    <cfRule type="containsText" dxfId="10" priority="12" operator="containsText" text="VENCIDO">
      <formula>NOT(ISERROR(SEARCH("VENCIDO",D3)))</formula>
    </cfRule>
    <cfRule type="containsText" dxfId="9" priority="13" operator="containsText" text="A VENCER">
      <formula>NOT(ISERROR(SEARCH("A VENCER",D3)))</formula>
    </cfRule>
  </conditionalFormatting>
  <conditionalFormatting sqref="D3:D182">
    <cfRule type="containsText" dxfId="8" priority="10" operator="containsText" text="PAGO">
      <formula>NOT(ISERROR(SEARCH("PAGO",D3)))</formula>
    </cfRule>
  </conditionalFormatting>
  <conditionalFormatting sqref="E8">
    <cfRule type="containsText" dxfId="7" priority="5" operator="containsText" text="VERMELHO">
      <formula>NOT(ISERROR(SEARCH("VERMELHO",E8)))</formula>
    </cfRule>
    <cfRule type="containsText" dxfId="6" priority="6" operator="containsText" text="ECONOMIZE">
      <formula>NOT(ISERROR(SEARCH("ECONOMIZE",E8)))</formula>
    </cfRule>
    <cfRule type="containsText" dxfId="5" priority="7" operator="containsText" text="EXCELENTE">
      <formula>NOT(ISERROR(SEARCH("EXCELENTE",E8)))</formula>
    </cfRule>
    <cfRule type="containsText" dxfId="4" priority="8" operator="containsText" text="FÁLIDO">
      <formula>NOT(ISERROR(SEARCH("FÁLIDO",E8)))</formula>
    </cfRule>
    <cfRule type="containsText" dxfId="3" priority="9" operator="containsText" text="ESTÁVEL">
      <formula>NOT(ISERROR(SEARCH("ESTÁVEL",E8)))</formula>
    </cfRule>
  </conditionalFormatting>
  <conditionalFormatting sqref="C3:C175">
    <cfRule type="expression" dxfId="2" priority="2">
      <formula>AND($C3 &lt; TODAY(), $C3 &lt;&gt; "")</formula>
    </cfRule>
  </conditionalFormatting>
  <conditionalFormatting sqref="E5">
    <cfRule type="expression" dxfId="1" priority="17">
      <formula>AND($E5 &gt; $F3)</formula>
    </cfRule>
  </conditionalFormatting>
  <dataValidations count="8">
    <dataValidation type="list" allowBlank="1" showInputMessage="1" showErrorMessage="1" sqref="D3:D182" xr:uid="{6B0FF459-8453-40DE-A265-08C562C41FB6}">
      <formula1>$K$4:$K$6</formula1>
    </dataValidation>
    <dataValidation allowBlank="1" showInputMessage="1" showErrorMessage="1" promptTitle="Texto Alt" prompt="O texto Alt ajuda as pessoas com deficiências visuais a entenderem o diagrama. Descreva cada etapa do processo." sqref="P4" xr:uid="{A4D6D5F2-F39E-499F-B08E-3CFE10D66F9A}"/>
    <dataValidation allowBlank="1" showInputMessage="1" showErrorMessage="1" promptTitle="Tipo de Forma" prompt="Insira o tipo de forma a ser usado para cada etapa do processo." sqref="O4" xr:uid="{285D3054-ABBE-43A2-9B0A-F530A0457F71}"/>
    <dataValidation allowBlank="1" showInputMessage="1" showErrorMessage="1" promptTitle="Rótulo do Conector" prompt="Se desejar, rotule o conector na próxima etapa. Use vírgulas para separar várias próximas etapas, como &quot;Sim,Não&quot;." sqref="N4" xr:uid="{41C77C58-07D1-4FEB-87B9-A79C08AB9B36}"/>
    <dataValidation allowBlank="1" showInputMessage="1" showErrorMessage="1" promptTitle="ID da Próxima Etapa" prompt="Insira a ID da etapa do processo na próxima etapa. Use vírgulas para separar várias próximas etapas, como &quot;P600,P700&quot;." sqref="M4" xr:uid="{41853DF8-02DC-49E1-96F5-B92CED9DDBA0}"/>
    <dataValidation allowBlank="1" showInputMessage="1" showErrorMessage="1" promptTitle="Descrição da Etapa do Processo" prompt="Insira o texto para a etapa do processo que será exibida na forma." sqref="L4" xr:uid="{3EE40678-8F08-4A5E-A3C6-11811A33D1AD}"/>
    <dataValidation type="list" allowBlank="1" showInputMessage="1" sqref="O5:O8" xr:uid="{C20E78F1-C8B5-433C-A0EE-C5E75C357FDF}">
      <formula1>"Processo, Decisão, Subprocesso, Início, Fim, Documento, Dados, Banco de Dados, Dados externos, Referência na página, Referência fora da página, Personalizar 1, Personalizar 2, Personalizar 3, Personalizar 4"</formula1>
    </dataValidation>
    <dataValidation type="list" allowBlank="1" showInputMessage="1" showErrorMessage="1" sqref="D183:D1048576" xr:uid="{455CF1D9-F6A9-4FA0-AE45-404580483E37}">
      <formula1>"G13:G15"</formula1>
    </dataValidation>
  </dataValidations>
  <pageMargins left="0.25" right="0.25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4" operator="containsText" id="{C8A4D180-5D08-45D2-BD37-9A966EF5BBDD}">
            <xm:f>NOT(ISERROR(SEARCH("-",E3)))</xm:f>
            <xm:f>"-"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E3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high="1" low="1" first="1" last="1" negative="1" displayXAxis="1" xr2:uid="{EE5FA0E1-4AD5-47E1-9FA1-ABABEAA04460}">
          <x14:colorSeries rgb="FF32323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'MODELO PLANILHAS'!B3:B8</xm:f>
              <xm:sqref>E6</xm:sqref>
            </x14:sparkline>
          </x14:sparklines>
        </x14:sparklineGroup>
        <x14:sparklineGroup displayEmptyCellsAs="gap" markers="1" high="1" low="1" first="1" last="1" negative="1" displayXAxis="1" xr2:uid="{AF6AC700-3DFE-48C0-92BF-0856EE2C0977}">
          <x14:colorSeries theme="0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'MODELO PLANILHAS'!H4:H22</xm:f>
              <xm:sqref>G22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7D1A-011E-488C-ADF7-028014FAF4B4}">
  <sheetPr codeName="Planilha4"/>
  <dimension ref="A1:AD43"/>
  <sheetViews>
    <sheetView workbookViewId="0">
      <selection activeCell="F18" sqref="F18"/>
    </sheetView>
  </sheetViews>
  <sheetFormatPr defaultRowHeight="15" x14ac:dyDescent="0.25"/>
  <sheetData>
    <row r="1" spans="1:30" ht="47.25" customHeight="1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</row>
    <row r="2" spans="1:30" x14ac:dyDescent="0.25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</row>
    <row r="3" spans="1:30" x14ac:dyDescent="0.25">
      <c r="A3" s="44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</row>
    <row r="4" spans="1:30" x14ac:dyDescent="0.25">
      <c r="A4" s="44"/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</row>
    <row r="5" spans="1:30" x14ac:dyDescent="0.25">
      <c r="A5" s="44"/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</row>
    <row r="6" spans="1:30" x14ac:dyDescent="0.25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</row>
    <row r="7" spans="1:30" x14ac:dyDescent="0.25">
      <c r="A7" s="44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</row>
    <row r="8" spans="1:30" x14ac:dyDescent="0.25">
      <c r="A8" s="44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</row>
    <row r="9" spans="1:30" x14ac:dyDescent="0.25">
      <c r="A9" s="44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</row>
    <row r="10" spans="1:30" x14ac:dyDescent="0.25">
      <c r="A10" s="44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</row>
    <row r="11" spans="1:30" x14ac:dyDescent="0.25">
      <c r="A11" s="44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</row>
    <row r="12" spans="1:30" x14ac:dyDescent="0.25">
      <c r="A12" s="44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</row>
    <row r="13" spans="1:30" x14ac:dyDescent="0.25">
      <c r="A13" s="44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</row>
    <row r="14" spans="1:30" x14ac:dyDescent="0.25">
      <c r="A14" s="44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</row>
    <row r="15" spans="1:30" x14ac:dyDescent="0.25">
      <c r="A15" s="44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</row>
    <row r="16" spans="1:30" x14ac:dyDescent="0.25">
      <c r="A16" s="44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</row>
    <row r="17" spans="1:29" x14ac:dyDescent="0.25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</row>
    <row r="18" spans="1:29" x14ac:dyDescent="0.25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</row>
    <row r="19" spans="1:29" x14ac:dyDescent="0.25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</row>
    <row r="20" spans="1:29" x14ac:dyDescent="0.25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</row>
    <row r="21" spans="1:29" x14ac:dyDescent="0.25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</row>
    <row r="22" spans="1:29" x14ac:dyDescent="0.25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</row>
    <row r="23" spans="1:29" x14ac:dyDescent="0.25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</row>
    <row r="24" spans="1:29" x14ac:dyDescent="0.25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</row>
    <row r="25" spans="1:29" x14ac:dyDescent="0.25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</row>
    <row r="26" spans="1:29" x14ac:dyDescent="0.25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</row>
    <row r="27" spans="1:29" x14ac:dyDescent="0.25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</row>
    <row r="28" spans="1:29" x14ac:dyDescent="0.25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</row>
    <row r="29" spans="1:29" x14ac:dyDescent="0.25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</row>
    <row r="30" spans="1:29" x14ac:dyDescent="0.25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</row>
    <row r="31" spans="1:29" x14ac:dyDescent="0.25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</row>
    <row r="32" spans="1:29" x14ac:dyDescent="0.25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</row>
    <row r="33" spans="1:29" x14ac:dyDescent="0.25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</row>
    <row r="34" spans="1:29" x14ac:dyDescent="0.25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</row>
    <row r="35" spans="1:29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</row>
    <row r="36" spans="1:29" x14ac:dyDescent="0.25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</row>
    <row r="37" spans="1:29" x14ac:dyDescent="0.25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</row>
    <row r="38" spans="1:29" x14ac:dyDescent="0.25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</row>
    <row r="39" spans="1:29" x14ac:dyDescent="0.25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</row>
    <row r="40" spans="1:29" x14ac:dyDescent="0.25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</row>
    <row r="41" spans="1:29" x14ac:dyDescent="0.25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</row>
    <row r="42" spans="1:29" x14ac:dyDescent="0.25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</row>
    <row r="43" spans="1:29" x14ac:dyDescent="0.25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MODELO PLANILHAS</vt:lpstr>
      <vt:lpstr>HOME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David</dc:creator>
  <cp:lastModifiedBy>Daniel David</cp:lastModifiedBy>
  <cp:lastPrinted>2023-08-22T15:01:57Z</cp:lastPrinted>
  <dcterms:created xsi:type="dcterms:W3CDTF">2023-05-26T22:42:17Z</dcterms:created>
  <dcterms:modified xsi:type="dcterms:W3CDTF">2023-08-22T15:23:35Z</dcterms:modified>
</cp:coreProperties>
</file>